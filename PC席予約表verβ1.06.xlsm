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mc:AlternateContent xmlns:mc="http://schemas.openxmlformats.org/markup-compatibility/2006">
    <mc:Choice Requires="x15">
      <x15ac:absPath xmlns:x15ac="http://schemas.microsoft.com/office/spreadsheetml/2010/11/ac" url="C:\Users\ゆい\OneDrive - 日本大学\pc\"/>
    </mc:Choice>
  </mc:AlternateContent>
  <xr:revisionPtr revIDLastSave="660" documentId="13_ncr:1_{C5CA701D-716E-4170-9304-CE8DD9F9BD6D}" xr6:coauthVersionLast="43" xr6:coauthVersionMax="43" xr10:uidLastSave="{B19C5BC7-A931-4975-AA58-F9F258FC415D}"/>
  <bookViews>
    <workbookView xWindow="-110" yWindow="-110" windowWidth="18220" windowHeight="11620"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連絡事項" sheetId="13" r:id="rId7"/>
  </sheet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<sst xmlns="http://schemas.openxmlformats.org/spreadsheetml/2006/main" count="230" uniqueCount="170">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</sst>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h:mm;@"/>
  </numFmts>
  <fonts count="10">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5">
    <fill>
      <patternFill patternType="none"/>
    </fill>
    <fill>
      <patternFill patternType="gray125"/>
    </fill>
    <fill>
      <patternFill patternType="solid">
        <fgColor rgb="FFFFFF00"/>
        <bgColor indexed="64"/>
      </patternFill>
    </fill>
    <fill>
      <patternFill patternType="solid">
        <fgColor rgb="FFA2B3C1"/>
        <bgColor indexed="64"/>
      </patternFill>
    </fill>
    <fill>
      <patternFill patternType="solid">
        <fgColor rgb="FFD4EAFC"/>
        <bgColor indexed="64"/>
      </patternFill>
    </fill>
  </fills>
  <borders count="12">
    <border>
      <left/>
      <right/>
      <top/>
      <bottom/>
      <diagonal/>
    </border>
    <border>
      <left style="thick">
        <color rgb="FFFFFFFF"/>
      </left>
      <right style="thick">
        <color rgb="FFFFFFFF"/>
      </right>
      <top style="thick">
        <color rgb="FFFFFFFF"/>
      </top>
      <bottom style="thick">
        <color rgb="FFFFFFFF"/>
      </bottom>
      <diagonal/>
    </border>
    <border>
      <left/>
      <right/>
      <top/>
      <bottom style="thick">
        <color rgb="FFFFFFFF"/>
      </bottom>
      <diagonal/>
    </border>
    <border>
      <left/>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theme="1" tint="0.499984740745262"/>
      </left>
      <right style="thick">
        <color theme="1" tint="0.499984740745262"/>
      </right>
      <top style="thick">
        <color theme="1" tint="0.499984740745262"/>
      </top>
      <bottom style="thick">
        <color theme="1" tint="0.499984740745262"/>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theme="1" tint="0.499984740745262"/>
      </left>
      <right/>
      <top style="thick">
        <color theme="1" tint="0.499984740745262"/>
      </top>
      <bottom style="thick">
        <color theme="1" tint="0.499984740745262"/>
      </bottom>
      <diagonal/>
    </border>
    <border>
      <left/>
      <right/>
      <top style="thick">
        <color theme="1" tint="0.499984740745262"/>
      </top>
      <bottom style="thick">
        <color theme="1" tint="0.499984740745262"/>
      </bottom>
      <diagonal/>
    </border>
    <border>
      <left/>
      <right style="thick">
        <color theme="1" tint="0.499984740745262"/>
      </right>
      <top style="thick">
        <color theme="1" tint="0.499984740745262"/>
      </top>
      <bottom style="thick">
        <color theme="1" tint="0.499984740745262"/>
      </bottom>
      <diagonal/>
    </border>
    <border diagonalDown="1">
      <left style="thick">
        <color rgb="FFFFFFFF"/>
      </left>
      <right/>
      <top style="thick">
        <color theme="1" tint="0.499984740745262"/>
      </top>
      <bottom style="thick">
        <color theme="1" tint="0.499984740745262"/>
      </bottom>
      <diagonal style="thick">
        <color rgb="FFFFFFFF"/>
      </diagonal>
    </border>
  </borders>
  <cellStyleXfs count="1">
    <xf numFmtId="0" fontId="0" fillId="0" borderId="0">
      <alignment vertical="center"/>
    </xf>
  </cellStyleXfs>
  <cellXfs count="42">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0" fontId="7" fillId="3" borderId="3"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0" fillId="0" borderId="8" xfId="0" applyFill="1" applyBorder="1">
      <alignment vertical="center"/>
    </xf>
    <xf numFmtId="0" fontId="3" fillId="0" borderId="9" xfId="0" applyFont="1" applyFill="1" applyBorder="1" applyAlignment="1">
      <alignment horizontal="center" vertical="center"/>
    </xf>
    <xf numFmtId="0" fontId="0" fillId="0" borderId="9" xfId="0" applyFill="1" applyBorder="1">
      <alignment vertical="center"/>
    </xf>
    <xf numFmtId="0" fontId="0" fillId="0" borderId="9" xfId="0" applyFill="1" applyBorder="1" applyAlignment="1">
      <alignment vertical="center"/>
    </xf>
    <xf numFmtId="0" fontId="4" fillId="0" borderId="9" xfId="0" applyFont="1" applyFill="1" applyBorder="1" applyAlignment="1">
      <alignment horizontal="center" vertical="center"/>
    </xf>
    <xf numFmtId="0" fontId="0" fillId="0" borderId="10" xfId="0" applyFill="1" applyBorder="1" applyAlignment="1">
      <alignment vertical="center"/>
    </xf>
    <xf numFmtId="0" fontId="0"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5" xfId="0" applyFont="1" applyFill="1" applyBorder="1" applyAlignment="1">
      <alignment horizontal="center" vertical="center"/>
    </xf>
    <xf numFmtId="0" fontId="0" fillId="0" borderId="5" xfId="0" applyFill="1" applyBorder="1">
      <alignment vertical="center"/>
    </xf>
    <xf numFmtId="0" fontId="4" fillId="0" borderId="5" xfId="0" applyFont="1" applyFill="1" applyBorder="1" applyAlignment="1">
      <alignment horizontal="center" vertical="center"/>
    </xf>
    <xf numFmtId="0" fontId="0" fillId="0" borderId="5" xfId="0" applyFill="1" applyBorder="1" applyAlignment="1">
      <alignment vertical="center"/>
    </xf>
    <xf numFmtId="0" fontId="7" fillId="3" borderId="6"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4" fillId="0" borderId="5"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166689</xdr:colOff>
          <xdr:row>3</xdr:row>
          <xdr:rowOff>50801</xdr:rowOff>
        </xdr:from>
        <xdr:to>
          <xdr:col>12</xdr:col>
          <xdr:colOff>801542</xdr:colOff>
          <xdr:row>5</xdr:row>
          <xdr:rowOff>690562</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出力!B1" spid="_x0000_s2384"/>
                </a:ext>
              </a:extLst>
            </xdr:cNvPicPr>
          </xdr:nvPicPr>
          <xdr:blipFill>
            <a:blip xmlns:r="http://schemas.openxmlformats.org/officeDocument/2006/relationships" r:embed="rId1"/>
            <a:stretch>
              <a:fillRect/>
            </a:stretch>
          </xdr:blipFill>
          <xdr:spPr>
            <a:xfrm>
              <a:off x="11352612" y="1187849"/>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6</xdr:row>
          <xdr:rowOff>119062</xdr:rowOff>
        </xdr:from>
        <xdr:to>
          <xdr:col>12</xdr:col>
          <xdr:colOff>777728</xdr:colOff>
          <xdr:row>11</xdr:row>
          <xdr:rowOff>80167</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出力!B2" spid="_x0000_s2385"/>
                </a:ext>
              </a:extLst>
            </xdr:cNvPicPr>
          </xdr:nvPicPr>
          <xdr:blipFill>
            <a:blip xmlns:r="http://schemas.openxmlformats.org/officeDocument/2006/relationships" r:embed="rId2"/>
            <a:stretch>
              <a:fillRect/>
            </a:stretch>
          </xdr:blipFill>
          <xdr:spPr>
            <a:xfrm>
              <a:off x="11328798" y="3917156"/>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241300</xdr:colOff>
          <xdr:row>3</xdr:row>
          <xdr:rowOff>12700</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6"/>
  <sheetViews>
    <sheetView tabSelected="1" zoomScale="80" zoomScaleNormal="80" workbookViewId="0">
      <selection activeCell="J5" sqref="J5"/>
    </sheetView>
  </sheetViews>
  <sheetFormatPr defaultColWidth="8.83203125" defaultRowHeight="18"/>
  <cols>
    <col min="1" max="1" width="6.08203125" customWidth="1"/>
    <col min="2" max="2" width="4.75" customWidth="1"/>
    <col min="3" max="9" width="18.58203125" customWidth="1"/>
    <col min="10" max="10" width="5.75" customWidth="1"/>
    <col min="11" max="11" width="20.5" customWidth="1"/>
    <col min="12" max="12" width="20.4140625" customWidth="1"/>
    <col min="13" max="13" width="13.25" customWidth="1"/>
    <col min="14" max="14" width="15.5" customWidth="1"/>
  </cols>
  <sheetData>
    <row r="1" spans="1:14" ht="22.9" customHeight="1" thickBot="1">
      <c r="B1" s="14"/>
      <c r="K1" s="17" t="s">
        <v>29</v>
      </c>
      <c r="L1" s="18" t="s">
        <v>23</v>
      </c>
    </row>
    <row r="2" spans="1:14" ht="36.4" customHeight="1" thickTop="1" thickBot="1">
      <c r="A2" s="22"/>
      <c r="B2" s="23"/>
      <c r="C2" s="24"/>
      <c r="D2" s="24"/>
      <c r="E2" s="25"/>
      <c r="F2" s="26" t="s">
        <v>13</v>
      </c>
      <c r="G2" s="25"/>
      <c r="H2" s="25"/>
      <c r="I2" s="27"/>
      <c r="K2" s="15">
        <f ca="1">TODAY()</f>
        <v>43699</v>
      </c>
      <c r="L2" s="16">
        <f ca="1">NOW()-INT(NOW())</f>
        <v>0.68241875000239816</v>
      </c>
    </row>
    <row r="3" spans="1:14" ht="30" customHeight="1" thickTop="1" thickBot="1">
      <c r="A3" s="22"/>
      <c r="B3" s="28"/>
      <c r="C3" s="29" t="s">
        <v>14</v>
      </c>
      <c r="D3" s="30" t="s">
        <v>15</v>
      </c>
      <c r="E3" s="30" t="s">
        <v>17</v>
      </c>
      <c r="F3" s="30" t="s">
        <v>16</v>
      </c>
      <c r="G3" s="30" t="s">
        <v>18</v>
      </c>
      <c r="H3" s="30" t="s">
        <v>19</v>
      </c>
      <c r="I3" s="30" t="s">
        <v>20</v>
      </c>
      <c r="K3" s="5"/>
      <c r="N3" s="4"/>
    </row>
    <row r="4" spans="1:14" ht="70" customHeight="1" thickTop="1" thickBot="1">
      <c r="A4" s="31"/>
      <c r="B4" s="32">
        <v>1</v>
      </c>
      <c r="C4" s="35" t="str">
        <f ca="1">IF(ISNUMBER(IF(INDEX(生データ!$D:$D,MATCH(D22,生データ!$D:$D,1))=D22,VLOOKUP(D22,生データ!$D:$F,3,TRUE),)),"予約済"&amp;IF(VLOOKUP(D22,生データ!$D:$F,2,TRUE)=1,"(貸出中)",""),"")</f>
        <v/>
      </c>
      <c r="D4" s="21" t="str">
        <f ca="1">IF(ISNUMBER(IF(INDEX(生データ!$D:$D,MATCH(E22,生データ!$D:$D,1))=E22,VLOOKUP(E22,生データ!$D:$F,3,TRUE),)),"予約済"&amp;IF(VLOOKUP(E22,生データ!$D:$F,2,TRUE)=1,"(貸出中)",""),"")</f>
        <v/>
      </c>
      <c r="E4" s="21" t="str">
        <f ca="1">IF(ISNUMBER(IF(INDEX(生データ!$D:$D,MATCH(F22,生データ!$D:$D,1))=F22,VLOOKUP(F22,生データ!$D:$F,3,TRUE),)),"予約済"&amp;IF(VLOOKUP(F22,生データ!$D:$F,2,TRUE)=1,"(貸出中)",""),"")</f>
        <v/>
      </c>
      <c r="F4" s="34" t="str">
        <f ca="1">IF(ISNUMBER(IF(INDEX(生データ!$D:$D,MATCH(G22,生データ!$D:$D,1))=G22,VLOOKUP(G22,生データ!$D:$F,3,TRUE),)),"予約済"&amp;IF(VLOOKUP(G22,生データ!$D:$F,2,TRUE)=1,"(貸出中)",""),"")</f>
        <v/>
      </c>
      <c r="G4" s="21" t="str">
        <f ca="1">IF(ISNUMBER(IF(INDEX(生データ!$D:$D,MATCH(H22,生データ!$D:$D,1))=H22,VLOOKUP(H22,生データ!$D:$F,3,TRUE),)),"予約済"&amp;IF(VLOOKUP(H22,生データ!$D:$F,2,TRUE)=1,"(貸出中)",""),"")</f>
        <v/>
      </c>
      <c r="H4" s="38" t="str">
        <f ca="1">IF(ISNUMBER(IF(INDEX(生データ!$D:$D,MATCH(I22,生データ!$D:$D,1))=I22,VLOOKUP(I22,生データ!$D:$F,3,TRUE),)),"予約済"&amp;IF(VLOOKUP(I22,生データ!$D:$F,2,TRUE)=1,"(貸出中)",""),"")</f>
        <v/>
      </c>
      <c r="I4" s="36" t="str">
        <f ca="1">IF(ISNUMBER(IF(INDEX(生データ!$D:$D,MATCH(J22,生データ!$D:$D,1))=J22,VLOOKUP(J22,生データ!$D:$F,3,TRUE),)),"予約済"&amp;IF(VLOOKUP(J22,生データ!$D:$F,2,TRUE)=1,"(貸出中)",""),"")</f>
        <v/>
      </c>
      <c r="K4" s="40"/>
      <c r="L4" s="40"/>
      <c r="M4" s="41"/>
      <c r="N4" s="41"/>
    </row>
    <row r="5" spans="1:14" ht="70" customHeight="1" thickTop="1" thickBot="1">
      <c r="A5" s="39" t="s">
        <v>12</v>
      </c>
      <c r="B5" s="32">
        <v>2</v>
      </c>
      <c r="C5" s="19" t="str">
        <f ca="1">IF(ISNUMBER(IF(INDEX(生データ!$D:$D,MATCH(D23,生データ!$D:$D,1))=D23,VLOOKUP(D23,生データ!$D:$F,3,TRUE),)),"予約済"&amp;IF(VLOOKUP(D23,生データ!$D:$F,2,TRUE)=1,"(貸出中)",""),"")</f>
        <v/>
      </c>
      <c r="D5" s="20" t="str">
        <f ca="1">IF(ISNUMBER(IF(INDEX(生データ!$D:$D,MATCH(E23,生データ!$D:$D,1))=E23,VLOOKUP(E23,生データ!$D:$F,3,TRUE),)),"予約済"&amp;IF(VLOOKUP(E23,生データ!$D:$F,2,TRUE)=1,"(貸出中)",""),"")</f>
        <v/>
      </c>
      <c r="E5" s="20" t="str">
        <f ca="1">IF(ISNUMBER(IF(INDEX(生データ!$D:$D,MATCH(F23,生データ!$D:$D,1))=F23,VLOOKUP(F23,生データ!$D:$F,3,TRUE),)),"予約済"&amp;IF(VLOOKUP(F23,生データ!$D:$F,2,TRUE)=1,"(貸出中)",""),"")</f>
        <v/>
      </c>
      <c r="F5" s="20" t="str">
        <f ca="1">IF(ISNUMBER(IF(INDEX(生データ!$D:$D,MATCH(G23,生データ!$D:$D,1))=G23,VLOOKUP(G23,生データ!$D:$F,3,TRUE),)),"予約済"&amp;IF(VLOOKUP(G23,生データ!$D:$F,2,TRUE)=1,"(貸出中)",""),"")</f>
        <v/>
      </c>
      <c r="G5" s="21" t="str">
        <f ca="1">IF(ISNUMBER(IF(INDEX(生データ!$D:$D,MATCH(H23,生データ!$D:$D,1))=H23,VLOOKUP(H23,生データ!$D:$F,3,TRUE),)),"予約済"&amp;IF(VLOOKUP(H23,生データ!$D:$F,2,TRUE)=1,"(貸出中)",""),"")</f>
        <v/>
      </c>
      <c r="H5" s="37" t="str">
        <f ca="1">IF(ISNUMBER(IF(INDEX(生データ!$D:$D,MATCH(I23,生データ!$D:$D,1))=I23,VLOOKUP(I23,生データ!$D:$F,3,TRUE),)),"予約済"&amp;IF(VLOOKUP(I23,生データ!$D:$F,2,TRUE)=1,"(貸出中)",""),"")</f>
        <v/>
      </c>
      <c r="I5" s="37" t="str">
        <f ca="1">IF(ISNUMBER(IF(INDEX(生データ!$D:$D,MATCH(J23,生データ!$D:$D,1))=J23,VLOOKUP(J23,生データ!$D:$F,3,TRUE),)),"予約済"&amp;IF(VLOOKUP(J23,生データ!$D:$F,2,TRUE)=1,"(貸出中)",""),"")</f>
        <v/>
      </c>
      <c r="K5" s="40"/>
      <c r="L5" s="40"/>
      <c r="M5" s="41"/>
      <c r="N5" s="41"/>
    </row>
    <row r="6" spans="1:14" ht="70" customHeight="1" thickTop="1" thickBot="1">
      <c r="A6" s="39"/>
      <c r="B6" s="32">
        <v>3</v>
      </c>
      <c r="C6" s="19" t="str">
        <f ca="1">IF(ISNUMBER(IF(INDEX(生データ!$D:$D,MATCH(D24,生データ!$D:$D,1))=D24,VLOOKUP(D24,生データ!$D:$F,3,TRUE),)),"予約済"&amp;IF(VLOOKUP(D24,生データ!$D:$F,2,TRUE)=1,"(貸出中)",""),"")</f>
        <v/>
      </c>
      <c r="D6" s="20" t="str">
        <f ca="1">IF(ISNUMBER(IF(INDEX(生データ!$D:$D,MATCH(E24,生データ!$D:$D,1))=E24,VLOOKUP(E24,生データ!$D:$F,3,TRUE),)),"予約済"&amp;IF(VLOOKUP(E24,生データ!$D:$F,2,TRUE)=1,"(貸出中)",""),"")</f>
        <v/>
      </c>
      <c r="E6" s="20" t="str">
        <f ca="1">IF(ISNUMBER(IF(INDEX(生データ!$D:$D,MATCH(F24,生データ!$D:$D,1))=F24,VLOOKUP(F24,生データ!$D:$F,3,TRUE),)),"予約済"&amp;IF(VLOOKUP(F24,生データ!$D:$F,2,TRUE)=1,"(貸出中)",""),"")</f>
        <v/>
      </c>
      <c r="F6" s="20" t="str">
        <f ca="1">IF(ISNUMBER(IF(INDEX(生データ!$D:$D,MATCH(G24,生データ!$D:$D,1))=G24,VLOOKUP(G24,生データ!$D:$F,3,TRUE),)),"予約済"&amp;IF(VLOOKUP(G24,生データ!$D:$F,2,TRUE)=1,"(貸出中)",""),"")</f>
        <v/>
      </c>
      <c r="G6" s="20" t="str">
        <f ca="1">IF(ISNUMBER(IF(INDEX(生データ!$D:$D,MATCH(H24,生データ!$D:$D,1))=H24,VLOOKUP(H24,生データ!$D:$F,3,TRUE),)),"予約済"&amp;IF(VLOOKUP(H24,生データ!$D:$F,2,TRUE)=1,"(貸出中)",""),"")</f>
        <v/>
      </c>
      <c r="H6" s="37" t="str">
        <f ca="1">IF(ISNUMBER(IF(INDEX(生データ!$D:$D,MATCH(I24,生データ!$D:$D,1))=I24,VLOOKUP(I24,生データ!$D:$F,3,TRUE),)),"予約済"&amp;IF(VLOOKUP(I24,生データ!$D:$F,2,TRUE)=1,"(貸出中)",""),"")</f>
        <v/>
      </c>
      <c r="I6" s="37" t="str">
        <f ca="1">IF(ISNUMBER(IF(INDEX(生データ!$D:$D,MATCH(J24,生データ!$D:$D,1))=J24,VLOOKUP(J24,生データ!$D:$F,3,TRUE),)),"予約済"&amp;IF(VLOOKUP(J24,生データ!$D:$F,2,TRUE)=1,"(貸出中)",""),"")</f>
        <v/>
      </c>
    </row>
    <row r="7" spans="1:14" ht="70" customHeight="1" thickTop="1" thickBot="1">
      <c r="A7" s="39"/>
      <c r="B7" s="32">
        <v>4</v>
      </c>
      <c r="C7" s="19" t="str">
        <f ca="1">IF(ISNUMBER(IF(INDEX(生データ!$D:$D,MATCH(D25,生データ!$D:$D,1))=D25,VLOOKUP(D25,生データ!$D:$F,3,TRUE),)),"予約済"&amp;IF(VLOOKUP(D25,生データ!$D:$F,2,TRUE)=1,"(貸出中)",""),"")</f>
        <v/>
      </c>
      <c r="D7" s="20" t="str">
        <f ca="1">IF(ISNUMBER(IF(INDEX(生データ!$D:$D,MATCH(E25,生データ!$D:$D,1))=E25,VLOOKUP(E25,生データ!$D:$F,3,TRUE),)),"予約済"&amp;IF(VLOOKUP(E25,生データ!$D:$F,2,TRUE)=1,"(貸出中)",""),"")</f>
        <v/>
      </c>
      <c r="E7" s="20" t="str">
        <f ca="1">IF(ISNUMBER(IF(INDEX(生データ!$D:$D,MATCH(F25,生データ!$D:$D,1))=F25,VLOOKUP(F25,生データ!$D:$F,3,TRUE),)),"予約済"&amp;IF(VLOOKUP(F25,生データ!$D:$F,2,TRUE)=1,"(貸出中)",""),"")</f>
        <v/>
      </c>
      <c r="F7" s="20" t="str">
        <f ca="1">IF(ISNUMBER(IF(INDEX(生データ!$D:$D,MATCH(G25,生データ!$D:$D,1))=G25,VLOOKUP(G25,生データ!$D:$F,3,TRUE),)),"予約済"&amp;IF(VLOOKUP(G25,生データ!$D:$F,2,TRUE)=1,"(貸出中)",""),"")</f>
        <v/>
      </c>
      <c r="G7" s="20" t="str">
        <f ca="1">IF(ISNUMBER(IF(INDEX(生データ!$D:$D,MATCH(H25,生データ!$D:$D,1))=H25,VLOOKUP(H25,生データ!$D:$F,3,TRUE),)),"予約済"&amp;IF(VLOOKUP(H25,生データ!$D:$F,2,TRUE)=1,"(貸出中)",""),"")</f>
        <v/>
      </c>
      <c r="H7" s="37" t="str">
        <f ca="1">IF(ISNUMBER(IF(INDEX(生データ!$D:$D,MATCH(I25,生データ!$D:$D,1))=I25,VLOOKUP(I25,生データ!$D:$F,3,TRUE),)),"予約済"&amp;IF(VLOOKUP(I25,生データ!$D:$F,2,TRUE)=1,"(貸出中)",""),"")</f>
        <v/>
      </c>
      <c r="I7" s="37" t="str">
        <f ca="1">IF(ISNUMBER(IF(INDEX(生データ!$D:$D,MATCH(J25,生データ!$D:$D,1))=J25,VLOOKUP(J25,生データ!$D:$F,3,TRUE),)),"予約済"&amp;IF(VLOOKUP(J25,生データ!$D:$F,2,TRUE)=1,"(貸出中)",""),"")</f>
        <v/>
      </c>
      <c r="L7" s="6"/>
    </row>
    <row r="8" spans="1:14" ht="70" customHeight="1" thickTop="1" thickBot="1">
      <c r="A8" s="33"/>
      <c r="B8" s="32">
        <v>5</v>
      </c>
      <c r="C8" s="19" t="str">
        <f ca="1">IF(ISNUMBER(IF(INDEX(生データ!$D:$D,MATCH(D26,生データ!$D:$D,1))=D26,VLOOKUP(D26,生データ!$D:$F,3,TRUE),)),"予約済"&amp;IF(VLOOKUP(D26,生データ!$D:$F,2,TRUE)=1,"(貸出中)",""),"")</f>
        <v/>
      </c>
      <c r="D8" s="20" t="str">
        <f ca="1">IF(ISNUMBER(IF(INDEX(生データ!$D:$D,MATCH(E26,生データ!$D:$D,1))=E26,VLOOKUP(E26,生データ!$D:$F,3,TRUE),)),"予約済"&amp;IF(VLOOKUP(E26,生データ!$D:$F,2,TRUE)=1,"(貸出中)",""),"")</f>
        <v/>
      </c>
      <c r="E8" s="20" t="str">
        <f ca="1">IF(ISNUMBER(IF(INDEX(生データ!$D:$D,MATCH(F26,生データ!$D:$D,1))=F26,VLOOKUP(F26,生データ!$D:$F,3,TRUE),)),"予約済"&amp;IF(VLOOKUP(F26,生データ!$D:$F,2,TRUE)=1,"(貸出中)",""),"")</f>
        <v/>
      </c>
      <c r="F8" s="20" t="str">
        <f ca="1">IF(ISNUMBER(IF(INDEX(生データ!$D:$D,MATCH(G26,生データ!$D:$D,1))=G26,VLOOKUP(G26,生データ!$D:$F,3,TRUE),)),"予約済"&amp;IF(VLOOKUP(G26,生データ!$D:$F,2,TRUE)=1,"(貸出中)",""),"")</f>
        <v/>
      </c>
      <c r="G8" s="20" t="str">
        <f ca="1">IF(ISNUMBER(IF(INDEX(生データ!$D:$D,MATCH(H26,生データ!$D:$D,1))=H26,VLOOKUP(H26,生データ!$D:$F,3,TRUE),)),"予約済"&amp;IF(VLOOKUP(H26,生データ!$D:$F,2,TRUE)=1,"(貸出中)",""),"")</f>
        <v/>
      </c>
      <c r="H8" s="37" t="str">
        <f ca="1">IF(ISNUMBER(IF(INDEX(生データ!$D:$D,MATCH(I26,生データ!$D:$D,1))=I26,VLOOKUP(I26,生データ!$D:$F,3,TRUE),)),"予約済"&amp;IF(VLOOKUP(I26,生データ!$D:$F,2,TRUE)=1,"(貸出中)",""),"")</f>
        <v/>
      </c>
      <c r="I8" s="37" t="str">
        <f ca="1">IF(ISNUMBER(IF(INDEX(生データ!$D:$D,MATCH(J26,生データ!$D:$D,1))=J26,VLOOKUP(J26,生データ!$D:$F,3,TRUE),)),"予約済"&amp;IF(VLOOKUP(J26,生データ!$D:$F,2,TRUE)=1,"(貸出中)",""),"")</f>
        <v/>
      </c>
    </row>
    <row r="9" spans="1:14" ht="18.5" thickTop="1"/>
    <row r="12" spans="1:14" ht="58.9" customHeight="1">
      <c r="H12" s="1" t="s">
        <v>28</v>
      </c>
      <c r="I12" t="s">
        <v>24</v>
      </c>
    </row>
    <row r="13" spans="1:14" ht="41.65" customHeight="1">
      <c r="H13" s="1" t="s">
        <v>25</v>
      </c>
      <c r="I13" t="s">
        <v>169</v>
      </c>
    </row>
    <row r="14" spans="1:14" ht="58.9" customHeight="1">
      <c r="H14" s="1" t="s">
        <v>27</v>
      </c>
      <c r="I14" t="s">
        <v>26</v>
      </c>
    </row>
    <row r="17" spans="3:10">
      <c r="G17" s="7"/>
      <c r="H17" s="3"/>
    </row>
    <row r="18" spans="3:10">
      <c r="G18" s="7"/>
      <c r="H18" s="3"/>
    </row>
    <row r="19" spans="3:10">
      <c r="C19" s="3"/>
      <c r="D19" s="3"/>
      <c r="G19" s="7"/>
      <c r="H19" s="3"/>
    </row>
    <row r="20" spans="3:10">
      <c r="C20" s="3"/>
      <c r="D20" s="3"/>
      <c r="G20" s="7"/>
      <c r="H20" s="3"/>
    </row>
    <row r="21" spans="3:10" hidden="1">
      <c r="C21" s="3" t="str">
        <f ca="1">TEXT(K2,"yyyymmdd")</f>
        <v>20190822</v>
      </c>
      <c r="D21" s="3">
        <v>1</v>
      </c>
      <c r="E21">
        <v>2</v>
      </c>
      <c r="F21" s="3">
        <v>3</v>
      </c>
      <c r="G21" s="3">
        <v>4</v>
      </c>
      <c r="H21" s="3">
        <v>5</v>
      </c>
      <c r="I21" s="3">
        <v>6</v>
      </c>
      <c r="J21" s="3">
        <v>7</v>
      </c>
    </row>
    <row r="22" spans="3:10" hidden="1">
      <c r="C22" s="3">
        <v>1</v>
      </c>
      <c r="D22" s="3">
        <f ca="1">$C$21*100+D$21*10+$C22</f>
        <v>2019082211</v>
      </c>
      <c r="E22" s="3">
        <f t="shared" ref="E22:J22" ca="1" si="0">$C$21*100+E$21*10+$C22</f>
        <v>2019082221</v>
      </c>
      <c r="F22" s="3">
        <f t="shared" ca="1" si="0"/>
        <v>2019082231</v>
      </c>
      <c r="G22" s="3">
        <f t="shared" ca="1" si="0"/>
        <v>2019082241</v>
      </c>
      <c r="H22" s="3">
        <f t="shared" ca="1" si="0"/>
        <v>2019082251</v>
      </c>
      <c r="I22" s="3">
        <f t="shared" ca="1" si="0"/>
        <v>2019082261</v>
      </c>
      <c r="J22" s="3">
        <f t="shared" ca="1" si="0"/>
        <v>2019082271</v>
      </c>
    </row>
    <row r="23" spans="3:10" hidden="1">
      <c r="C23" s="3">
        <v>2</v>
      </c>
      <c r="D23" s="3">
        <f t="shared" ref="D23:J26" ca="1" si="1">$C$21*100+D$21*10+$C23</f>
        <v>2019082212</v>
      </c>
      <c r="E23" s="3">
        <f t="shared" ca="1" si="1"/>
        <v>2019082222</v>
      </c>
      <c r="F23" s="3">
        <f t="shared" ca="1" si="1"/>
        <v>2019082232</v>
      </c>
      <c r="G23" s="3">
        <f t="shared" ca="1" si="1"/>
        <v>2019082242</v>
      </c>
      <c r="H23" s="3">
        <f t="shared" ca="1" si="1"/>
        <v>2019082252</v>
      </c>
      <c r="I23" s="3">
        <f t="shared" ca="1" si="1"/>
        <v>2019082262</v>
      </c>
      <c r="J23" s="3">
        <f t="shared" ca="1" si="1"/>
        <v>2019082272</v>
      </c>
    </row>
    <row r="24" spans="3:10" hidden="1">
      <c r="C24" s="3">
        <v>3</v>
      </c>
      <c r="D24" s="3">
        <f t="shared" ca="1" si="1"/>
        <v>2019082213</v>
      </c>
      <c r="E24" s="3">
        <f t="shared" ca="1" si="1"/>
        <v>2019082223</v>
      </c>
      <c r="F24" s="3">
        <f t="shared" ca="1" si="1"/>
        <v>2019082233</v>
      </c>
      <c r="G24" s="3">
        <f t="shared" ca="1" si="1"/>
        <v>2019082243</v>
      </c>
      <c r="H24" s="3">
        <f t="shared" ca="1" si="1"/>
        <v>2019082253</v>
      </c>
      <c r="I24" s="3">
        <f t="shared" ca="1" si="1"/>
        <v>2019082263</v>
      </c>
      <c r="J24" s="3">
        <f t="shared" ca="1" si="1"/>
        <v>2019082273</v>
      </c>
    </row>
    <row r="25" spans="3:10" hidden="1">
      <c r="C25" s="3">
        <v>4</v>
      </c>
      <c r="D25" s="3">
        <f t="shared" ca="1" si="1"/>
        <v>2019082214</v>
      </c>
      <c r="E25" s="3">
        <f t="shared" ca="1" si="1"/>
        <v>2019082224</v>
      </c>
      <c r="F25" s="3">
        <f t="shared" ca="1" si="1"/>
        <v>2019082234</v>
      </c>
      <c r="G25" s="3">
        <f t="shared" ca="1" si="1"/>
        <v>2019082244</v>
      </c>
      <c r="H25" s="3">
        <f t="shared" ca="1" si="1"/>
        <v>2019082254</v>
      </c>
      <c r="I25" s="3">
        <f t="shared" ca="1" si="1"/>
        <v>2019082264</v>
      </c>
      <c r="J25" s="3">
        <f t="shared" ca="1" si="1"/>
        <v>2019082274</v>
      </c>
    </row>
    <row r="26" spans="3:10" hidden="1">
      <c r="C26" s="3">
        <v>5</v>
      </c>
      <c r="D26" s="3">
        <f t="shared" ca="1" si="1"/>
        <v>2019082215</v>
      </c>
      <c r="E26" s="3">
        <f t="shared" ca="1" si="1"/>
        <v>2019082225</v>
      </c>
      <c r="F26" s="3">
        <f t="shared" ca="1" si="1"/>
        <v>2019082235</v>
      </c>
      <c r="G26" s="3">
        <f t="shared" ca="1" si="1"/>
        <v>2019082245</v>
      </c>
      <c r="H26" s="3">
        <f t="shared" ca="1" si="1"/>
        <v>2019082255</v>
      </c>
      <c r="I26" s="3">
        <f t="shared" ca="1" si="1"/>
        <v>2019082265</v>
      </c>
      <c r="J26" s="3">
        <f t="shared" ca="1" si="1"/>
        <v>2019082275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B1:B3"/>
  <sheetViews>
    <sheetView zoomScaleNormal="100" workbookViewId="0">
      <selection activeCell="E2" sqref="E2"/>
    </sheetView>
  </sheetViews>
  <sheetFormatPr defaultRowHeight="18"/>
  <cols>
    <col min="2" max="2" width="40.6640625" customWidth="1"/>
  </cols>
  <sheetData>
    <row r="1" spans="2:2" ht="181" customHeight="1">
      <c r="B1" s="12"/>
    </row>
    <row r="2" spans="2:2" ht="157.15" customHeight="1"/>
    <row r="3" spans="2:2" ht="157.15" customHeight="1"/>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4" sqref="E4"/>
    </sheetView>
  </sheetViews>
  <sheetFormatPr defaultRowHeight="18"/>
  <cols>
    <col min="4" max="4" width="13.25" customWidth="1"/>
    <col min="5" max="5" width="57.08203125" customWidth="1"/>
  </cols>
  <sheetData>
    <row r="1" spans="1:7">
      <c r="A1" t="s">
        <v>151</v>
      </c>
      <c r="B1" t="s">
        <v>152</v>
      </c>
      <c r="C1" t="s">
        <v>153</v>
      </c>
      <c r="D1" t="s">
        <v>154</v>
      </c>
      <c r="E1" t="s">
        <v>155</v>
      </c>
      <c r="F1" t="s">
        <v>156</v>
      </c>
    </row>
    <row r="2" spans="1:7">
      <c r="A2">
        <v>1</v>
      </c>
      <c r="B2" t="s">
        <v>157</v>
      </c>
      <c r="C2" t="s">
        <v>158</v>
      </c>
      <c r="D2" t="s">
        <v>159</v>
      </c>
      <c r="F2" t="s">
        <v>168</v>
      </c>
    </row>
    <row r="3" spans="1:7">
      <c r="A3">
        <v>2</v>
      </c>
      <c r="B3" t="s">
        <v>161</v>
      </c>
      <c r="C3" t="s">
        <v>162</v>
      </c>
      <c r="D3" t="s">
        <v>166</v>
      </c>
      <c r="F3" t="s">
        <v>167</v>
      </c>
    </row>
    <row r="4" spans="1:7">
      <c r="A4">
        <v>3</v>
      </c>
      <c r="B4" t="s">
        <v>165</v>
      </c>
      <c r="C4" t="s">
        <v>158</v>
      </c>
      <c r="D4" t="s">
        <v>164</v>
      </c>
      <c r="F4" t="s">
        <v>163</v>
      </c>
    </row>
    <row r="9" spans="1: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241300</xdr:colOff>
                    <xdr:row>3</xdr:row>
                    <xdr:rowOff>12700</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3203125" defaultRowHeight="18"/>
  <cols>
    <col min="1" max="1" width="14.33203125" customWidth="1"/>
    <col min="4" max="4" width="12.58203125" customWidth="1"/>
    <col min="6" max="6" width="19.58203125" style="2" customWidth="1"/>
    <col min="7" max="16" width="10.58203125" style="2" customWidth="1"/>
    <col min="17" max="35" width="8.83203125" style="2"/>
  </cols>
  <sheetData>
    <row r="1" spans="1:15">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c r="A2">
        <v>20190714</v>
      </c>
      <c r="B2">
        <v>2</v>
      </c>
      <c r="C2">
        <v>2</v>
      </c>
      <c r="D2">
        <v>2019071422</v>
      </c>
      <c r="E2">
        <v>0</v>
      </c>
      <c r="F2" s="2">
        <v>192508005</v>
      </c>
      <c r="G2" s="2">
        <v>192508004</v>
      </c>
    </row>
    <row r="3" spans="1:15">
      <c r="A3">
        <v>20190715</v>
      </c>
      <c r="B3">
        <v>2</v>
      </c>
      <c r="C3">
        <v>1</v>
      </c>
      <c r="D3">
        <v>2019071521</v>
      </c>
      <c r="E3">
        <v>0</v>
      </c>
      <c r="F3" s="2">
        <v>182505003</v>
      </c>
    </row>
    <row r="4" spans="1:15">
      <c r="A4">
        <v>20190715</v>
      </c>
      <c r="B4">
        <v>2</v>
      </c>
      <c r="C4">
        <v>4</v>
      </c>
      <c r="D4">
        <v>2019071524</v>
      </c>
      <c r="E4">
        <v>0</v>
      </c>
      <c r="F4" s="2">
        <v>182514002</v>
      </c>
    </row>
    <row r="5" spans="1:15">
      <c r="A5">
        <v>20190715</v>
      </c>
      <c r="B5">
        <v>2</v>
      </c>
      <c r="C5">
        <v>5</v>
      </c>
      <c r="D5">
        <v>2019071525</v>
      </c>
      <c r="E5">
        <v>0</v>
      </c>
      <c r="F5" s="2">
        <v>172502005</v>
      </c>
    </row>
    <row r="6" spans="1:15">
      <c r="A6">
        <v>20190715</v>
      </c>
      <c r="B6">
        <v>3</v>
      </c>
      <c r="C6">
        <v>3</v>
      </c>
      <c r="D6">
        <v>2019071533</v>
      </c>
      <c r="E6">
        <v>0</v>
      </c>
      <c r="F6" s="2">
        <v>192505003</v>
      </c>
    </row>
    <row r="7" spans="1:15">
      <c r="A7">
        <v>20190715</v>
      </c>
      <c r="B7">
        <v>3</v>
      </c>
      <c r="C7">
        <v>5</v>
      </c>
      <c r="D7">
        <v>2019071535</v>
      </c>
      <c r="E7">
        <v>0</v>
      </c>
      <c r="F7" s="2">
        <v>172502005</v>
      </c>
    </row>
    <row r="8" spans="1:15">
      <c r="A8">
        <v>20190715</v>
      </c>
      <c r="B8">
        <v>4</v>
      </c>
      <c r="C8">
        <v>3</v>
      </c>
      <c r="D8">
        <v>2019071543</v>
      </c>
      <c r="E8">
        <v>0</v>
      </c>
      <c r="F8" s="2">
        <v>192505003</v>
      </c>
    </row>
    <row r="9" spans="1:15">
      <c r="A9">
        <v>20190715</v>
      </c>
      <c r="B9">
        <v>4</v>
      </c>
      <c r="C9">
        <v>4</v>
      </c>
      <c r="D9">
        <v>2019071544</v>
      </c>
      <c r="E9">
        <v>0</v>
      </c>
      <c r="F9" s="2">
        <v>192503008</v>
      </c>
    </row>
    <row r="10" spans="1:15">
      <c r="A10">
        <v>20190715</v>
      </c>
      <c r="B10">
        <v>6</v>
      </c>
      <c r="C10">
        <v>1</v>
      </c>
      <c r="D10">
        <v>2019071561</v>
      </c>
      <c r="E10">
        <v>0</v>
      </c>
      <c r="F10" s="2">
        <v>192506002</v>
      </c>
    </row>
    <row r="11" spans="1:15">
      <c r="A11">
        <v>20190715</v>
      </c>
      <c r="B11">
        <v>6</v>
      </c>
      <c r="C11">
        <v>3</v>
      </c>
      <c r="D11">
        <v>2019071563</v>
      </c>
      <c r="E11">
        <v>0</v>
      </c>
      <c r="F11" s="2">
        <v>182507003</v>
      </c>
    </row>
    <row r="12" spans="1:15">
      <c r="A12">
        <v>20190715</v>
      </c>
      <c r="B12">
        <v>7</v>
      </c>
      <c r="C12">
        <v>1</v>
      </c>
      <c r="D12">
        <v>2019071571</v>
      </c>
      <c r="E12">
        <v>0</v>
      </c>
      <c r="F12" s="2">
        <v>192505003</v>
      </c>
    </row>
    <row r="13" spans="1:15">
      <c r="A13">
        <v>20190716</v>
      </c>
      <c r="B13">
        <v>2</v>
      </c>
      <c r="C13">
        <v>2</v>
      </c>
      <c r="D13">
        <v>2019071622</v>
      </c>
      <c r="E13">
        <v>0</v>
      </c>
      <c r="F13" s="2">
        <v>182510012</v>
      </c>
    </row>
    <row r="14" spans="1:15">
      <c r="A14">
        <v>20190716</v>
      </c>
      <c r="B14">
        <v>3</v>
      </c>
      <c r="C14">
        <v>1</v>
      </c>
      <c r="D14">
        <v>2019071631</v>
      </c>
      <c r="E14">
        <v>0</v>
      </c>
      <c r="F14" s="2">
        <v>182510012</v>
      </c>
    </row>
    <row r="15" spans="1:15">
      <c r="A15">
        <v>20190716</v>
      </c>
      <c r="B15">
        <v>3</v>
      </c>
      <c r="C15">
        <v>2</v>
      </c>
      <c r="D15">
        <v>2019071632</v>
      </c>
      <c r="E15">
        <v>0</v>
      </c>
      <c r="F15" s="2">
        <v>182510012</v>
      </c>
    </row>
    <row r="16" spans="1:15">
      <c r="A16">
        <v>20190716</v>
      </c>
      <c r="B16">
        <v>3</v>
      </c>
      <c r="C16">
        <v>4</v>
      </c>
      <c r="D16">
        <v>2019071634</v>
      </c>
      <c r="E16">
        <v>0</v>
      </c>
      <c r="F16" s="2">
        <v>152507189</v>
      </c>
    </row>
    <row r="17" spans="1:7">
      <c r="A17">
        <v>20190716</v>
      </c>
      <c r="B17">
        <v>4</v>
      </c>
      <c r="C17">
        <v>1</v>
      </c>
      <c r="D17">
        <v>2019071641</v>
      </c>
      <c r="E17">
        <v>0</v>
      </c>
      <c r="F17" s="2">
        <v>172516037</v>
      </c>
    </row>
    <row r="18" spans="1:7">
      <c r="A18">
        <v>20190717</v>
      </c>
      <c r="B18">
        <v>1</v>
      </c>
      <c r="C18">
        <v>1</v>
      </c>
      <c r="D18">
        <v>2019071711</v>
      </c>
      <c r="E18">
        <v>0</v>
      </c>
      <c r="F18" s="2">
        <v>162507203</v>
      </c>
    </row>
    <row r="19" spans="1:7">
      <c r="A19">
        <v>20190717</v>
      </c>
      <c r="B19">
        <v>2</v>
      </c>
      <c r="C19">
        <v>1</v>
      </c>
      <c r="D19">
        <v>2019071721</v>
      </c>
      <c r="E19">
        <v>0</v>
      </c>
      <c r="F19" s="2">
        <v>162507203</v>
      </c>
    </row>
    <row r="20" spans="1:7">
      <c r="A20">
        <v>20190717</v>
      </c>
      <c r="B20">
        <v>2</v>
      </c>
      <c r="C20">
        <v>2</v>
      </c>
      <c r="D20">
        <v>2019071722</v>
      </c>
      <c r="E20">
        <v>0</v>
      </c>
      <c r="F20" s="2">
        <v>182514070</v>
      </c>
    </row>
    <row r="21" spans="1:7">
      <c r="A21">
        <v>20190717</v>
      </c>
      <c r="B21">
        <v>2</v>
      </c>
      <c r="C21">
        <v>4</v>
      </c>
      <c r="D21">
        <v>2019071724</v>
      </c>
      <c r="E21">
        <v>0</v>
      </c>
      <c r="F21" s="2">
        <v>192505003</v>
      </c>
    </row>
    <row r="22" spans="1:7">
      <c r="A22">
        <v>20190717</v>
      </c>
      <c r="B22">
        <v>3</v>
      </c>
      <c r="C22">
        <v>2</v>
      </c>
      <c r="D22">
        <v>2019071732</v>
      </c>
      <c r="E22">
        <v>0</v>
      </c>
      <c r="F22" s="2">
        <v>182514058</v>
      </c>
    </row>
    <row r="23" spans="1:7">
      <c r="A23">
        <v>20190717</v>
      </c>
      <c r="B23">
        <v>4</v>
      </c>
      <c r="C23">
        <v>1</v>
      </c>
      <c r="D23">
        <v>2019071741</v>
      </c>
      <c r="E23">
        <v>0</v>
      </c>
      <c r="F23" s="2">
        <v>162507203</v>
      </c>
    </row>
    <row r="24" spans="1:7">
      <c r="A24">
        <v>20190717</v>
      </c>
      <c r="B24">
        <v>5</v>
      </c>
      <c r="C24">
        <v>4</v>
      </c>
      <c r="D24">
        <v>2019071754</v>
      </c>
      <c r="E24">
        <v>0</v>
      </c>
      <c r="F24" s="2">
        <v>192505003</v>
      </c>
    </row>
    <row r="25" spans="1:7">
      <c r="A25">
        <v>20190725</v>
      </c>
      <c r="B25">
        <v>2</v>
      </c>
      <c r="C25">
        <v>1</v>
      </c>
      <c r="D25">
        <v>2019072521</v>
      </c>
      <c r="E25">
        <v>0</v>
      </c>
      <c r="F25" s="2">
        <v>192202015</v>
      </c>
      <c r="G25" s="2">
        <v>192202016</v>
      </c>
    </row>
    <row r="26" spans="1:7">
      <c r="A26">
        <v>20190725</v>
      </c>
      <c r="B26">
        <v>3</v>
      </c>
      <c r="C26">
        <v>1</v>
      </c>
      <c r="D26">
        <v>2019072531</v>
      </c>
      <c r="E26">
        <v>0</v>
      </c>
      <c r="F26" s="2">
        <v>192202015</v>
      </c>
      <c r="G26" s="2">
        <v>192202016</v>
      </c>
    </row>
    <row r="27" spans="1:7">
      <c r="A27">
        <v>20190725</v>
      </c>
      <c r="B27">
        <v>3</v>
      </c>
      <c r="C27">
        <v>3</v>
      </c>
      <c r="D27">
        <v>2019072533</v>
      </c>
      <c r="E27">
        <v>0</v>
      </c>
      <c r="F27" s="2">
        <v>192202015</v>
      </c>
    </row>
    <row r="28" spans="1:7">
      <c r="A28">
        <v>20190725</v>
      </c>
      <c r="B28">
        <v>4</v>
      </c>
      <c r="C28">
        <v>2</v>
      </c>
      <c r="D28">
        <v>2019072542</v>
      </c>
      <c r="E28">
        <v>0</v>
      </c>
      <c r="F28" s="2">
        <v>192501001</v>
      </c>
    </row>
    <row r="29" spans="1:7">
      <c r="A29">
        <v>20190725</v>
      </c>
      <c r="B29">
        <v>7</v>
      </c>
      <c r="C29">
        <v>1</v>
      </c>
      <c r="D29">
        <v>2019072571</v>
      </c>
      <c r="E29">
        <v>0</v>
      </c>
      <c r="F29" s="2">
        <v>192505001</v>
      </c>
    </row>
    <row r="30" spans="1:7">
      <c r="A30">
        <v>20190725</v>
      </c>
      <c r="B30">
        <v>7</v>
      </c>
      <c r="C30">
        <v>2</v>
      </c>
      <c r="D30">
        <v>2019072572</v>
      </c>
      <c r="E30">
        <v>0</v>
      </c>
      <c r="F30" s="2">
        <v>192501001</v>
      </c>
    </row>
    <row r="31" spans="1:7">
      <c r="A31">
        <v>20190725</v>
      </c>
      <c r="B31">
        <v>7</v>
      </c>
      <c r="C31">
        <v>3</v>
      </c>
      <c r="D31">
        <v>2019072573</v>
      </c>
      <c r="E31">
        <v>0</v>
      </c>
      <c r="F31" s="2">
        <v>192501001</v>
      </c>
      <c r="G31" s="2">
        <v>192502004</v>
      </c>
    </row>
    <row r="32" spans="1:7">
      <c r="A32">
        <v>20190725</v>
      </c>
      <c r="B32">
        <v>7</v>
      </c>
      <c r="C32">
        <v>5</v>
      </c>
      <c r="D32">
        <v>2019072575</v>
      </c>
      <c r="E32">
        <v>0</v>
      </c>
      <c r="F32" s="2">
        <v>192508002</v>
      </c>
    </row>
    <row r="33" spans="1:7">
      <c r="A33">
        <v>20190726</v>
      </c>
      <c r="B33">
        <v>4</v>
      </c>
      <c r="C33">
        <v>1</v>
      </c>
      <c r="D33">
        <v>2019072641</v>
      </c>
      <c r="E33">
        <v>0</v>
      </c>
      <c r="F33" s="2">
        <v>192202015</v>
      </c>
      <c r="G33" s="2">
        <v>192501001</v>
      </c>
    </row>
    <row r="34" spans="1:7">
      <c r="A34">
        <v>20190726</v>
      </c>
      <c r="B34">
        <v>7</v>
      </c>
      <c r="C34">
        <v>1</v>
      </c>
      <c r="D34">
        <v>2019072671</v>
      </c>
      <c r="E34">
        <v>0</v>
      </c>
      <c r="F34" s="2">
        <v>192202015</v>
      </c>
    </row>
    <row r="35" spans="1:7">
      <c r="A35">
        <v>20190727</v>
      </c>
      <c r="B35">
        <v>5</v>
      </c>
      <c r="C35">
        <v>1</v>
      </c>
      <c r="D35">
        <v>2019072751</v>
      </c>
      <c r="E35">
        <v>0</v>
      </c>
      <c r="F35" s="2">
        <v>192501001</v>
      </c>
    </row>
    <row r="36" spans="1:7">
      <c r="A36">
        <v>20190727</v>
      </c>
      <c r="B36">
        <v>5</v>
      </c>
      <c r="C36">
        <v>2</v>
      </c>
      <c r="D36">
        <v>2019072752</v>
      </c>
      <c r="E36">
        <v>0</v>
      </c>
      <c r="F36" s="2">
        <v>192501001</v>
      </c>
    </row>
    <row r="37" spans="1:7">
      <c r="A37">
        <v>20190727</v>
      </c>
      <c r="B37">
        <v>7</v>
      </c>
      <c r="C37">
        <v>1</v>
      </c>
      <c r="D37">
        <v>2019072771</v>
      </c>
      <c r="E37">
        <v>0</v>
      </c>
      <c r="F37" s="2">
        <v>192501002</v>
      </c>
      <c r="G37" s="2">
        <v>182501001</v>
      </c>
    </row>
    <row r="38" spans="1:7">
      <c r="A38">
        <v>20190728</v>
      </c>
      <c r="B38">
        <v>5</v>
      </c>
      <c r="C38">
        <v>2</v>
      </c>
      <c r="D38">
        <v>2019072852</v>
      </c>
      <c r="E38">
        <v>1</v>
      </c>
      <c r="F38" s="2">
        <v>192501001</v>
      </c>
    </row>
    <row r="39" spans="1:7">
      <c r="A39">
        <v>20190728</v>
      </c>
      <c r="B39">
        <v>6</v>
      </c>
      <c r="C39">
        <v>2</v>
      </c>
      <c r="D39">
        <v>2019072862</v>
      </c>
      <c r="E39">
        <v>1</v>
      </c>
      <c r="F39" s="2">
        <v>192501001</v>
      </c>
    </row>
    <row r="40" spans="1:7">
      <c r="A40">
        <v>20190729</v>
      </c>
      <c r="B40">
        <v>2</v>
      </c>
      <c r="C40">
        <v>1</v>
      </c>
      <c r="D40">
        <v>2019072921</v>
      </c>
      <c r="E40">
        <v>0</v>
      </c>
      <c r="F40" s="2">
        <v>192501001</v>
      </c>
    </row>
    <row r="41" spans="1:7">
      <c r="A41">
        <v>20190729</v>
      </c>
      <c r="B41">
        <v>2</v>
      </c>
      <c r="C41">
        <v>3</v>
      </c>
      <c r="D41">
        <v>2019072923</v>
      </c>
      <c r="E41">
        <v>0</v>
      </c>
      <c r="F41" s="2">
        <v>192501001</v>
      </c>
    </row>
    <row r="42" spans="1:7">
      <c r="A42">
        <v>20190729</v>
      </c>
      <c r="B42">
        <v>5</v>
      </c>
      <c r="C42">
        <v>1</v>
      </c>
      <c r="D42">
        <v>2019072951</v>
      </c>
      <c r="E42">
        <v>1</v>
      </c>
      <c r="F42" s="2">
        <v>192501001</v>
      </c>
    </row>
    <row r="43" spans="1:7">
      <c r="A43">
        <v>20190729</v>
      </c>
      <c r="B43">
        <v>5</v>
      </c>
      <c r="C43">
        <v>2</v>
      </c>
      <c r="D43">
        <v>2019072952</v>
      </c>
      <c r="E43">
        <v>0</v>
      </c>
      <c r="F43" s="2">
        <v>192501001</v>
      </c>
    </row>
    <row r="44" spans="1:7">
      <c r="A44">
        <v>20190729</v>
      </c>
      <c r="B44">
        <v>6</v>
      </c>
      <c r="C44">
        <v>2</v>
      </c>
      <c r="D44">
        <v>2019072962</v>
      </c>
      <c r="E44">
        <v>0</v>
      </c>
      <c r="F44" s="2">
        <v>192501001</v>
      </c>
    </row>
    <row r="45" spans="1:7">
      <c r="A45">
        <v>20190802</v>
      </c>
      <c r="B45">
        <v>7</v>
      </c>
      <c r="C45">
        <v>4</v>
      </c>
      <c r="D45">
        <v>2019080274</v>
      </c>
      <c r="E45">
        <v>0</v>
      </c>
      <c r="F45" s="2">
        <v>152517043</v>
      </c>
    </row>
    <row r="46" spans="1:7">
      <c r="A46">
        <v>20190802</v>
      </c>
      <c r="B46">
        <v>7</v>
      </c>
      <c r="C46">
        <v>5</v>
      </c>
      <c r="D46">
        <v>2019080275</v>
      </c>
      <c r="E46">
        <v>0</v>
      </c>
      <c r="F46" s="2">
        <v>152517043</v>
      </c>
    </row>
    <row r="47" spans="1:7">
      <c r="A47">
        <v>20190805</v>
      </c>
      <c r="B47">
        <v>6</v>
      </c>
      <c r="C47">
        <v>3</v>
      </c>
      <c r="D47">
        <v>2019080563</v>
      </c>
      <c r="E47">
        <v>0</v>
      </c>
      <c r="F47" s="2">
        <v>152517043</v>
      </c>
    </row>
    <row r="48" spans="1:7">
      <c r="A48">
        <v>20190805</v>
      </c>
      <c r="B48">
        <v>7</v>
      </c>
      <c r="C48">
        <v>3</v>
      </c>
      <c r="D48">
        <v>2019080573</v>
      </c>
      <c r="E48">
        <v>0</v>
      </c>
      <c r="F48" s="2">
        <v>152517043</v>
      </c>
    </row>
    <row r="49" spans="1:6">
      <c r="A49">
        <v>20190820</v>
      </c>
      <c r="B49">
        <v>7</v>
      </c>
      <c r="C49">
        <v>2</v>
      </c>
      <c r="D49">
        <v>2019082072</v>
      </c>
      <c r="E49">
        <v>0</v>
      </c>
      <c r="F49" s="2">
        <v>152517043</v>
      </c>
    </row>
    <row r="50" spans="1:6">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8"/>
  <cols>
    <col min="1" max="1" width="14.33203125" customWidth="1"/>
    <col min="2" max="2" width="12.58203125" customWidth="1"/>
    <col min="3" max="3" width="11.83203125" customWidth="1"/>
    <col min="4" max="4" width="12.25" customWidth="1"/>
    <col min="5" max="6" width="11.5" customWidth="1"/>
    <col min="7" max="8" width="12.08203125" customWidth="1"/>
  </cols>
  <sheetData>
    <row r="1" spans="1:2">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3203125" defaultRowHeight="18"/>
  <cols>
    <col min="1" max="1" width="10.4140625" customWidth="1"/>
    <col min="3" max="3" width="12.58203125" bestFit="1" customWidth="1"/>
  </cols>
  <sheetData>
    <row r="1" spans="1:18">
      <c r="A1" s="11"/>
      <c r="B1" t="s">
        <v>112</v>
      </c>
      <c r="E1" t="s">
        <v>113</v>
      </c>
      <c r="H1" t="s">
        <v>114</v>
      </c>
    </row>
    <row r="2" spans="1:18">
      <c r="B2" t="s">
        <v>115</v>
      </c>
      <c r="D2" t="s">
        <v>116</v>
      </c>
      <c r="E2" t="s">
        <v>115</v>
      </c>
      <c r="G2" t="s">
        <v>117</v>
      </c>
      <c r="H2" t="s">
        <v>115</v>
      </c>
      <c r="J2" t="s">
        <v>117</v>
      </c>
    </row>
    <row r="3" spans="1:18">
      <c r="B3">
        <v>1</v>
      </c>
      <c r="C3" t="s">
        <v>118</v>
      </c>
      <c r="D3">
        <v>2501</v>
      </c>
      <c r="E3">
        <v>1</v>
      </c>
      <c r="F3" t="s">
        <v>118</v>
      </c>
      <c r="G3">
        <v>2001</v>
      </c>
      <c r="H3" s="12">
        <v>1</v>
      </c>
      <c r="I3" t="s">
        <v>118</v>
      </c>
      <c r="J3" s="12">
        <v>2011</v>
      </c>
      <c r="P3" t="s">
        <v>144</v>
      </c>
    </row>
    <row r="4" spans="1:18">
      <c r="B4">
        <v>2</v>
      </c>
      <c r="C4" t="s">
        <v>119</v>
      </c>
      <c r="D4">
        <v>2502</v>
      </c>
      <c r="E4">
        <v>2</v>
      </c>
      <c r="F4" t="s">
        <v>119</v>
      </c>
      <c r="G4">
        <v>2002</v>
      </c>
      <c r="H4" s="12">
        <v>2</v>
      </c>
      <c r="I4" t="s">
        <v>120</v>
      </c>
      <c r="J4" s="12">
        <v>2012</v>
      </c>
      <c r="P4" t="s">
        <v>145</v>
      </c>
      <c r="Q4">
        <f>23+5+20*7</f>
        <v>168</v>
      </c>
      <c r="R4">
        <f>5.5+4.2+18*7+5.2+22*2</f>
        <v>184.89999999999998</v>
      </c>
    </row>
    <row r="5" spans="1:18">
      <c r="B5">
        <v>3</v>
      </c>
      <c r="C5" t="s">
        <v>121</v>
      </c>
      <c r="D5">
        <v>2503</v>
      </c>
      <c r="E5">
        <v>3</v>
      </c>
      <c r="F5" t="s">
        <v>121</v>
      </c>
      <c r="G5">
        <v>2003</v>
      </c>
      <c r="H5" s="12">
        <v>2</v>
      </c>
      <c r="I5" t="s">
        <v>122</v>
      </c>
      <c r="J5" s="12">
        <v>2013</v>
      </c>
      <c r="P5" t="s">
        <v>146</v>
      </c>
      <c r="Q5">
        <f>50+50+30+115*5</f>
        <v>705</v>
      </c>
    </row>
    <row r="6" spans="1:18">
      <c r="B6">
        <v>4</v>
      </c>
      <c r="C6" t="s">
        <v>123</v>
      </c>
      <c r="D6">
        <v>2504</v>
      </c>
      <c r="E6">
        <v>4</v>
      </c>
      <c r="F6" t="s">
        <v>123</v>
      </c>
      <c r="G6">
        <v>2004</v>
      </c>
      <c r="H6" s="12">
        <v>3</v>
      </c>
      <c r="I6" t="s">
        <v>121</v>
      </c>
      <c r="J6" s="12">
        <v>2014</v>
      </c>
    </row>
    <row r="7" spans="1:18">
      <c r="B7">
        <v>5</v>
      </c>
      <c r="C7" t="s">
        <v>124</v>
      </c>
      <c r="D7">
        <v>2505</v>
      </c>
      <c r="E7">
        <v>5</v>
      </c>
      <c r="F7" t="s">
        <v>124</v>
      </c>
      <c r="G7">
        <v>2005</v>
      </c>
      <c r="H7" s="12">
        <v>4</v>
      </c>
      <c r="I7" t="s">
        <v>123</v>
      </c>
      <c r="J7" s="12">
        <v>2015</v>
      </c>
    </row>
    <row r="8" spans="1:18">
      <c r="B8">
        <v>6</v>
      </c>
      <c r="C8" t="s">
        <v>125</v>
      </c>
      <c r="D8">
        <v>2506</v>
      </c>
      <c r="E8">
        <v>6</v>
      </c>
      <c r="F8" t="s">
        <v>125</v>
      </c>
      <c r="G8">
        <v>2006</v>
      </c>
      <c r="H8" s="12">
        <v>5</v>
      </c>
      <c r="I8" t="s">
        <v>124</v>
      </c>
      <c r="J8" s="12">
        <v>2016</v>
      </c>
    </row>
    <row r="9" spans="1:18">
      <c r="B9">
        <v>7</v>
      </c>
      <c r="C9" t="s">
        <v>126</v>
      </c>
      <c r="D9">
        <v>2507</v>
      </c>
      <c r="E9">
        <v>7</v>
      </c>
      <c r="F9" t="s">
        <v>126</v>
      </c>
      <c r="G9">
        <v>2007</v>
      </c>
      <c r="H9" s="12">
        <v>6</v>
      </c>
      <c r="I9" t="s">
        <v>125</v>
      </c>
      <c r="J9" s="12">
        <v>2017</v>
      </c>
    </row>
    <row r="10" spans="1:18">
      <c r="B10">
        <v>8</v>
      </c>
      <c r="C10" t="s">
        <v>127</v>
      </c>
      <c r="D10">
        <v>2508</v>
      </c>
      <c r="E10">
        <v>8</v>
      </c>
      <c r="F10" t="s">
        <v>127</v>
      </c>
      <c r="G10">
        <v>2008</v>
      </c>
      <c r="H10" s="12">
        <v>7</v>
      </c>
      <c r="I10" t="s">
        <v>126</v>
      </c>
      <c r="J10" s="12">
        <v>2018</v>
      </c>
    </row>
    <row r="11" spans="1:18">
      <c r="B11">
        <v>9</v>
      </c>
      <c r="C11" t="s">
        <v>128</v>
      </c>
      <c r="D11">
        <v>2509</v>
      </c>
      <c r="E11" s="12">
        <v>9</v>
      </c>
      <c r="F11" t="s">
        <v>129</v>
      </c>
      <c r="G11" s="12">
        <v>2009</v>
      </c>
      <c r="H11" s="12">
        <v>8</v>
      </c>
      <c r="I11" t="s">
        <v>127</v>
      </c>
      <c r="J11" s="12">
        <v>2019</v>
      </c>
    </row>
    <row r="12" spans="1:18">
      <c r="B12">
        <v>10</v>
      </c>
      <c r="C12" t="s">
        <v>129</v>
      </c>
      <c r="D12" s="12">
        <v>2510</v>
      </c>
      <c r="H12" s="13">
        <v>9</v>
      </c>
      <c r="I12" t="s">
        <v>129</v>
      </c>
      <c r="J12" s="13">
        <v>2020</v>
      </c>
    </row>
    <row r="13" spans="1:18">
      <c r="B13">
        <v>11</v>
      </c>
      <c r="C13" t="s">
        <v>130</v>
      </c>
      <c r="D13" s="13">
        <v>2521</v>
      </c>
      <c r="E13" s="12">
        <v>51</v>
      </c>
      <c r="F13" s="12" t="s">
        <v>131</v>
      </c>
      <c r="G13" s="13">
        <v>2101</v>
      </c>
      <c r="H13" s="12">
        <v>51</v>
      </c>
      <c r="I13" t="s">
        <v>131</v>
      </c>
      <c r="J13" s="13">
        <v>2111</v>
      </c>
    </row>
    <row r="14" spans="1:18">
      <c r="B14">
        <v>51</v>
      </c>
      <c r="C14" t="s">
        <v>132</v>
      </c>
      <c r="D14" s="13">
        <v>2511</v>
      </c>
      <c r="E14">
        <v>61</v>
      </c>
      <c r="F14" t="s">
        <v>133</v>
      </c>
      <c r="G14">
        <v>2201</v>
      </c>
      <c r="H14" s="13">
        <v>61</v>
      </c>
      <c r="I14" t="s">
        <v>133</v>
      </c>
      <c r="J14" s="13">
        <v>2211</v>
      </c>
    </row>
    <row r="15" spans="1:18">
      <c r="B15">
        <v>52</v>
      </c>
      <c r="C15" t="s">
        <v>134</v>
      </c>
      <c r="D15">
        <v>2512</v>
      </c>
      <c r="E15">
        <v>62</v>
      </c>
      <c r="F15" t="s">
        <v>135</v>
      </c>
      <c r="G15">
        <v>2202</v>
      </c>
      <c r="H15" s="13">
        <v>62</v>
      </c>
      <c r="I15" t="s">
        <v>135</v>
      </c>
      <c r="J15" s="13">
        <v>2212</v>
      </c>
    </row>
    <row r="16" spans="1:18">
      <c r="B16">
        <v>53</v>
      </c>
      <c r="C16" t="s">
        <v>136</v>
      </c>
      <c r="D16">
        <v>2513</v>
      </c>
    </row>
    <row r="17" spans="2:10">
      <c r="B17">
        <v>54</v>
      </c>
      <c r="C17" t="s">
        <v>137</v>
      </c>
      <c r="D17">
        <v>2514</v>
      </c>
      <c r="F17" t="s">
        <v>138</v>
      </c>
      <c r="G17">
        <v>2099</v>
      </c>
      <c r="I17" t="s">
        <v>138</v>
      </c>
      <c r="J17" s="12">
        <v>2099</v>
      </c>
    </row>
    <row r="18" spans="2:10">
      <c r="B18">
        <v>55</v>
      </c>
      <c r="C18" t="s">
        <v>139</v>
      </c>
      <c r="D18">
        <v>2515</v>
      </c>
    </row>
    <row r="19" spans="2:10">
      <c r="B19">
        <v>56</v>
      </c>
      <c r="C19" t="s">
        <v>140</v>
      </c>
      <c r="D19">
        <v>2516</v>
      </c>
    </row>
    <row r="20" spans="2:10">
      <c r="B20">
        <v>57</v>
      </c>
      <c r="C20" t="s">
        <v>141</v>
      </c>
      <c r="D20">
        <v>2517</v>
      </c>
      <c r="F20" t="s">
        <v>142</v>
      </c>
    </row>
    <row r="21" spans="2:10">
      <c r="F21" t="s">
        <v>143</v>
      </c>
    </row>
    <row r="22" spans="2:10">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topLeftCell="A37" workbookViewId="0">
      <selection activeCell="D60" sqref="D60"/>
    </sheetView>
  </sheetViews>
  <sheetFormatPr defaultRowHeight="18"/>
  <cols>
    <col min="1" max="1" width="10.5" bestFit="1" customWidth="1"/>
    <col min="2" max="2" width="10.58203125" customWidth="1"/>
    <col min="4" max="4" width="11.25" customWidth="1"/>
  </cols>
  <sheetData>
    <row r="1" spans="1:5">
      <c r="A1" s="8">
        <v>43637</v>
      </c>
      <c r="B1" t="s">
        <v>32</v>
      </c>
      <c r="C1" t="s">
        <v>33</v>
      </c>
      <c r="D1" t="s">
        <v>34</v>
      </c>
    </row>
    <row r="2" spans="1:5">
      <c r="D2" t="s">
        <v>35</v>
      </c>
    </row>
    <row r="3" spans="1:5">
      <c r="D3" t="s">
        <v>36</v>
      </c>
    </row>
    <row r="4" spans="1:5">
      <c r="D4" t="s">
        <v>37</v>
      </c>
    </row>
    <row r="5" spans="1:5">
      <c r="D5" s="9" t="s">
        <v>38</v>
      </c>
    </row>
    <row r="6" spans="1:5">
      <c r="D6" t="s">
        <v>39</v>
      </c>
    </row>
    <row r="7" spans="1:5">
      <c r="A7" s="8">
        <v>43640</v>
      </c>
      <c r="B7" t="s">
        <v>40</v>
      </c>
      <c r="C7" t="s">
        <v>33</v>
      </c>
      <c r="D7" t="s">
        <v>41</v>
      </c>
      <c r="E7" t="s">
        <v>42</v>
      </c>
    </row>
    <row r="8" spans="1:5">
      <c r="A8" s="8"/>
      <c r="E8" t="s">
        <v>43</v>
      </c>
    </row>
    <row r="9" spans="1:5">
      <c r="A9" s="8"/>
      <c r="D9" t="s">
        <v>44</v>
      </c>
      <c r="E9" t="s">
        <v>45</v>
      </c>
    </row>
    <row r="10" spans="1:5">
      <c r="A10" s="8"/>
      <c r="D10" t="s">
        <v>30</v>
      </c>
      <c r="E10" t="s">
        <v>46</v>
      </c>
    </row>
    <row r="11" spans="1:5">
      <c r="A11" s="8"/>
      <c r="E11" t="s">
        <v>47</v>
      </c>
    </row>
    <row r="12" spans="1:5">
      <c r="A12" s="8"/>
      <c r="D12" t="s">
        <v>44</v>
      </c>
      <c r="E12" t="s">
        <v>48</v>
      </c>
    </row>
    <row r="13" spans="1:5">
      <c r="A13" s="8"/>
      <c r="D13" t="s">
        <v>49</v>
      </c>
      <c r="E13" t="s">
        <v>50</v>
      </c>
    </row>
    <row r="14" spans="1:5">
      <c r="A14" s="8"/>
      <c r="E14" t="s">
        <v>51</v>
      </c>
    </row>
    <row r="15" spans="1:5">
      <c r="A15" s="8"/>
      <c r="D15" t="s">
        <v>52</v>
      </c>
      <c r="E15" t="s">
        <v>53</v>
      </c>
    </row>
    <row r="16" spans="1:5">
      <c r="A16" s="8"/>
      <c r="E16" t="s">
        <v>54</v>
      </c>
    </row>
    <row r="17" spans="1:5">
      <c r="A17" s="8">
        <v>43641</v>
      </c>
      <c r="B17" t="s">
        <v>55</v>
      </c>
      <c r="C17" t="s">
        <v>33</v>
      </c>
      <c r="D17" t="s">
        <v>41</v>
      </c>
      <c r="E17" t="s">
        <v>56</v>
      </c>
    </row>
    <row r="18" spans="1:5">
      <c r="A18" s="10">
        <v>43644</v>
      </c>
      <c r="B18" t="s">
        <v>57</v>
      </c>
      <c r="C18" t="s">
        <v>33</v>
      </c>
      <c r="D18" t="s">
        <v>41</v>
      </c>
      <c r="E18" t="s">
        <v>58</v>
      </c>
    </row>
    <row r="19" spans="1:5">
      <c r="D19" t="s">
        <v>30</v>
      </c>
      <c r="E19" t="s">
        <v>59</v>
      </c>
    </row>
    <row r="20" spans="1:5">
      <c r="A20" s="10">
        <v>43651</v>
      </c>
      <c r="B20" t="s">
        <v>60</v>
      </c>
      <c r="C20" t="s">
        <v>33</v>
      </c>
      <c r="D20" t="s">
        <v>41</v>
      </c>
      <c r="E20" t="s">
        <v>61</v>
      </c>
    </row>
    <row r="21" spans="1:5">
      <c r="D21" t="s">
        <v>30</v>
      </c>
      <c r="E21" t="s">
        <v>62</v>
      </c>
    </row>
    <row r="22" spans="1:5">
      <c r="D22" t="s">
        <v>63</v>
      </c>
      <c r="E22" t="s">
        <v>64</v>
      </c>
    </row>
    <row r="23" spans="1:5">
      <c r="A23" s="10">
        <v>43658</v>
      </c>
      <c r="B23" t="s">
        <v>65</v>
      </c>
      <c r="C23" t="s">
        <v>33</v>
      </c>
      <c r="D23" t="s">
        <v>41</v>
      </c>
      <c r="E23" t="s">
        <v>66</v>
      </c>
    </row>
    <row r="24" spans="1:5">
      <c r="D24" t="s">
        <v>30</v>
      </c>
      <c r="E24" t="s">
        <v>67</v>
      </c>
    </row>
    <row r="25" spans="1:5">
      <c r="D25" t="s">
        <v>63</v>
      </c>
      <c r="E25" t="s">
        <v>68</v>
      </c>
    </row>
    <row r="26" spans="1:5">
      <c r="D26" t="s">
        <v>52</v>
      </c>
      <c r="E26" t="s">
        <v>69</v>
      </c>
    </row>
    <row r="27" spans="1:5">
      <c r="D27" t="s">
        <v>70</v>
      </c>
      <c r="E27" t="s">
        <v>71</v>
      </c>
    </row>
    <row r="28" spans="1:5">
      <c r="D28" t="s">
        <v>72</v>
      </c>
      <c r="E28" t="s">
        <v>73</v>
      </c>
    </row>
    <row r="29" spans="1:5">
      <c r="E29" t="s">
        <v>74</v>
      </c>
    </row>
    <row r="30" spans="1:5">
      <c r="E30" t="s">
        <v>75</v>
      </c>
    </row>
    <row r="31" spans="1:5">
      <c r="D31" t="s">
        <v>76</v>
      </c>
      <c r="E31" t="s">
        <v>77</v>
      </c>
    </row>
    <row r="32" spans="1:5">
      <c r="D32" t="s">
        <v>78</v>
      </c>
      <c r="E32" t="s">
        <v>79</v>
      </c>
    </row>
    <row r="33" spans="2:5">
      <c r="D33" t="s">
        <v>80</v>
      </c>
      <c r="E33" t="s">
        <v>81</v>
      </c>
    </row>
    <row r="34" spans="2:5">
      <c r="D34" t="s">
        <v>82</v>
      </c>
      <c r="E34" t="s">
        <v>83</v>
      </c>
    </row>
    <row r="35" spans="2:5">
      <c r="E35" t="s">
        <v>84</v>
      </c>
    </row>
    <row r="36" spans="2:5">
      <c r="D36" t="s">
        <v>85</v>
      </c>
      <c r="E36" t="s">
        <v>86</v>
      </c>
    </row>
    <row r="37" spans="2:5">
      <c r="D37" t="s">
        <v>87</v>
      </c>
      <c r="E37" t="s">
        <v>88</v>
      </c>
    </row>
    <row r="38" spans="2:5">
      <c r="E38" t="s">
        <v>89</v>
      </c>
    </row>
    <row r="39" spans="2:5">
      <c r="E39" t="s">
        <v>90</v>
      </c>
    </row>
    <row r="40" spans="2:5">
      <c r="E40" t="s">
        <v>91</v>
      </c>
    </row>
    <row r="41" spans="2:5">
      <c r="D41" t="s">
        <v>92</v>
      </c>
      <c r="E41" t="s">
        <v>93</v>
      </c>
    </row>
    <row r="42" spans="2:5">
      <c r="B42">
        <v>1.0309999999999999</v>
      </c>
      <c r="C42" t="s">
        <v>33</v>
      </c>
      <c r="D42" t="s">
        <v>41</v>
      </c>
      <c r="E42" t="s">
        <v>94</v>
      </c>
    </row>
    <row r="43" spans="2:5">
      <c r="D43" t="s">
        <v>30</v>
      </c>
      <c r="E43" t="s">
        <v>95</v>
      </c>
    </row>
    <row r="44" spans="2:5">
      <c r="B44">
        <v>1.032</v>
      </c>
      <c r="C44" t="s">
        <v>33</v>
      </c>
      <c r="D44" t="s">
        <v>41</v>
      </c>
      <c r="E44" t="s">
        <v>96</v>
      </c>
    </row>
    <row r="45" spans="2:5">
      <c r="D45" t="s">
        <v>30</v>
      </c>
      <c r="E45" t="s">
        <v>97</v>
      </c>
    </row>
    <row r="46" spans="2:5">
      <c r="B46">
        <v>1.0329999999999999</v>
      </c>
      <c r="C46" t="s">
        <v>33</v>
      </c>
      <c r="D46" t="s">
        <v>98</v>
      </c>
      <c r="E46" t="s">
        <v>99</v>
      </c>
    </row>
    <row r="47" spans="2:5">
      <c r="D47" t="s">
        <v>100</v>
      </c>
      <c r="E47" t="s">
        <v>101</v>
      </c>
    </row>
    <row r="48" spans="2:5">
      <c r="B48">
        <v>1.4</v>
      </c>
      <c r="C48" t="s">
        <v>33</v>
      </c>
      <c r="D48" t="s">
        <v>41</v>
      </c>
      <c r="E48" t="s">
        <v>102</v>
      </c>
    </row>
    <row r="49" spans="2:5">
      <c r="E49" t="s">
        <v>103</v>
      </c>
    </row>
    <row r="50" spans="2:5">
      <c r="D50" t="s">
        <v>41</v>
      </c>
      <c r="E50" t="s">
        <v>104</v>
      </c>
    </row>
    <row r="51" spans="2:5">
      <c r="D51" t="s">
        <v>30</v>
      </c>
      <c r="E51" t="s">
        <v>105</v>
      </c>
    </row>
    <row r="52" spans="2:5">
      <c r="D52" t="s">
        <v>63</v>
      </c>
      <c r="E52" t="s">
        <v>106</v>
      </c>
    </row>
    <row r="53" spans="2:5">
      <c r="D53" t="s">
        <v>52</v>
      </c>
      <c r="E53" t="s">
        <v>107</v>
      </c>
    </row>
    <row r="54" spans="2:5">
      <c r="D54" t="s">
        <v>108</v>
      </c>
      <c r="E54" t="s">
        <v>109</v>
      </c>
    </row>
    <row r="55" spans="2:5">
      <c r="B55">
        <v>1.42</v>
      </c>
      <c r="C55" t="s">
        <v>33</v>
      </c>
      <c r="D55" t="s">
        <v>41</v>
      </c>
      <c r="E55" t="s">
        <v>110</v>
      </c>
    </row>
    <row r="56" spans="2:5">
      <c r="B56">
        <v>1.43</v>
      </c>
      <c r="C56" t="s">
        <v>33</v>
      </c>
      <c r="D56" t="s">
        <v>41</v>
      </c>
      <c r="E56" t="s">
        <v>111</v>
      </c>
    </row>
    <row r="57" spans="2:5">
      <c r="D57" t="s">
        <v>30</v>
      </c>
      <c r="E57" t="s">
        <v>31</v>
      </c>
    </row>
    <row r="58" spans="2:5">
      <c r="D58" t="s">
        <v>147</v>
      </c>
      <c r="E58" t="s">
        <v>148</v>
      </c>
    </row>
    <row r="59" spans="2:5">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vt:lpstr>
      <vt:lpstr>出力</vt:lpstr>
      <vt:lpstr>入力</vt:lpstr>
      <vt:lpstr>生データ</vt:lpstr>
      <vt:lpstr>重複チェック</vt:lpstr>
      <vt:lpstr>学科コード表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ハラダユイ</cp:lastModifiedBy>
  <cp:lastPrinted>2019-07-28T14:53:38Z</cp:lastPrinted>
  <dcterms:created xsi:type="dcterms:W3CDTF">2019-06-11T08:04:49Z</dcterms:created>
  <dcterms:modified xsi:type="dcterms:W3CDTF">2019-08-22T07:23:05Z</dcterms:modified>
</cp:coreProperties>
</file>