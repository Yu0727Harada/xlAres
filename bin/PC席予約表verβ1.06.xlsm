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8500EC67-C0BB-4C06-8EF8-E04E4D8B6CA8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 l="1"/>
  <c r="C13" i="4" l="1"/>
  <c r="C12" i="4"/>
  <c r="C21" i="4" l="1"/>
  <c r="E22" i="4" s="1"/>
  <c r="D4" i="4"/>
  <c r="D23" i="4" l="1"/>
  <c r="F22" i="4"/>
  <c r="E4" i="4" s="1"/>
  <c r="J24" i="4"/>
  <c r="G24" i="4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J22" i="4"/>
  <c r="I4" i="4" s="1"/>
  <c r="G26" i="4"/>
  <c r="F8" i="4" s="1"/>
  <c r="E25" i="4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E24" i="4"/>
  <c r="D6" i="4" s="1"/>
  <c r="G23" i="4"/>
  <c r="F5" i="4" s="1"/>
  <c r="I22" i="4"/>
  <c r="I5" i="4"/>
  <c r="C5" i="4"/>
  <c r="D7" i="4"/>
  <c r="H6" i="4"/>
  <c r="I6" i="4"/>
  <c r="F6" i="4"/>
  <c r="E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G8" i="4"/>
  <c r="G7" i="4"/>
  <c r="H8" i="4"/>
  <c r="H5" i="4"/>
  <c r="H4" i="4"/>
  <c r="H7" i="4"/>
  <c r="G6" i="4"/>
</calcChain>
</file>

<file path=xl/sharedStrings.xml><?xml version="1.0" encoding="utf-8"?>
<sst xmlns="http://schemas.openxmlformats.org/spreadsheetml/2006/main" count="114" uniqueCount="87">
  <si>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</si>
  <si>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</si>
  <si>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</si>
  <si>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</si>
  <si>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</si>
  <si>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</si>
  <si>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</si>
  <si>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</si>
  <si>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</si>
  <si>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</si>
  <si>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</si>
  <si>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</si>
  <si>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</si>
  <si>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</si>
  <si>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</si>
  <si>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</si>
  <si>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</si>
  <si>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</si>
  <si>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</si>
  <si>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</si>
  <si>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</si>
  <si>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</si>
  <si>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</si>
  <si>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</si>
  <si>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</si>
  <si>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</si>
  <si>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</si>
  <si>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</si>
  <si>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</si>
  <si>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</si>
  <si>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</si>
  <si>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</si>
  <si>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</si>
  <si>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</si>
  <si>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</si>
  <si>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</si>
  <si>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</si>
  <si>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</si>
  <si>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</si>
  <si>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</si>
  <si>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</si>
  <si>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</si>
  <si>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</si>
  <si>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</si>
  <si>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</si>
  <si>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</si>
  <si>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</si>
  <si>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</si>
  <si>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</si>
  <si>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</si>
  <si>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</si>
  <si>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</si>
  <si>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</si>
  <si>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</si>
  <si>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</si>
  <si>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</si>
  <si>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</si>
  <si>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</si>
  <si>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</si>
  <si>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</si>
  <si>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</si>
  <si>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</si>
  <si>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</si>
  <si>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</si>
  <si>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</si>
  <si>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LAコントロールパネル</t>
    <phoneticPr fontId="1"/>
  </si>
  <si>
    <t>状態</t>
    <rPh sb="0" eb="2">
      <t>ジョウタイ</t>
    </rPh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</si>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</sst>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  <fill>
      <patternFill patternType="solid">
        <fgColor rgb="FFFFA04C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595313</xdr:colOff>
          <xdr:row>7</xdr:row>
          <xdr:rowOff>200025</xdr:rowOff>
        </xdr:from>
        <xdr:to>
          <xdr:col>24</xdr:col>
          <xdr:colOff>171450</xdr:colOff>
          <xdr:row>7</xdr:row>
          <xdr:rowOff>695325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5</xdr:row>
          <xdr:rowOff>114300</xdr:rowOff>
        </xdr:from>
        <xdr:to>
          <xdr:col>24</xdr:col>
          <xdr:colOff>161925</xdr:colOff>
          <xdr:row>5</xdr:row>
          <xdr:rowOff>628650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576263</xdr:colOff>
          <xdr:row>11</xdr:row>
          <xdr:rowOff>209550</xdr:rowOff>
        </xdr:from>
        <xdr:to>
          <xdr:col>24</xdr:col>
          <xdr:colOff>266700</xdr:colOff>
          <xdr:row>12</xdr:row>
          <xdr:rowOff>209550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6225" y="931023"/>
          <a:ext cx="9437025" cy="4843508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5406" y="972945"/>
          <a:ext cx="9417844" cy="4817462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8391" y="1309688"/>
          <a:ext cx="882111" cy="4489692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372007</xdr:colOff>
      <xdr:row>9</xdr:row>
      <xdr:rowOff>301107</xdr:rowOff>
    </xdr:from>
    <xdr:to>
      <xdr:col>13</xdr:col>
      <xdr:colOff>688626</xdr:colOff>
      <xdr:row>10</xdr:row>
      <xdr:rowOff>253890</xdr:rowOff>
    </xdr:to>
    <xdr:pic macro="[0]!show_profile">
      <xdr:nvPicPr>
        <xdr:cNvPr id="2720" name="グラフィックス 2719" descr="拡大鏡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alphaModFix amt="77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83470" y="6773345"/>
          <a:ext cx="316619" cy="333783"/>
        </a:xfrm>
        <a:prstGeom prst="rect">
          <a:avLst/>
        </a:prstGeom>
      </xdr:spPr>
    </xdr:pic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11811" y="1310746"/>
          <a:ext cx="2601237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6804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7158608" y="232173"/>
          <a:ext cx="16550538" cy="8728130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32704" y="7234868"/>
          <a:ext cx="2886849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566738</xdr:colOff>
          <xdr:row>10</xdr:row>
          <xdr:rowOff>28575</xdr:rowOff>
        </xdr:from>
        <xdr:to>
          <xdr:col>24</xdr:col>
          <xdr:colOff>233363</xdr:colOff>
          <xdr:row>11</xdr:row>
          <xdr:rowOff>57150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566738</xdr:colOff>
          <xdr:row>8</xdr:row>
          <xdr:rowOff>23813</xdr:rowOff>
        </xdr:from>
        <xdr:to>
          <xdr:col>24</xdr:col>
          <xdr:colOff>209550</xdr:colOff>
          <xdr:row>9</xdr:row>
          <xdr:rowOff>247650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定期再計算再実行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385763</xdr:colOff>
          <xdr:row>3</xdr:row>
          <xdr:rowOff>47625</xdr:rowOff>
        </xdr:from>
        <xdr:to>
          <xdr:col>18</xdr:col>
          <xdr:colOff>157163</xdr:colOff>
          <xdr:row>3</xdr:row>
          <xdr:rowOff>442913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385763</xdr:colOff>
          <xdr:row>3</xdr:row>
          <xdr:rowOff>595313</xdr:rowOff>
        </xdr:from>
        <xdr:to>
          <xdr:col>18</xdr:col>
          <xdr:colOff>138113</xdr:colOff>
          <xdr:row>4</xdr:row>
          <xdr:rowOff>85725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423863</xdr:colOff>
          <xdr:row>4</xdr:row>
          <xdr:rowOff>200025</xdr:rowOff>
        </xdr:from>
        <xdr:to>
          <xdr:col>18</xdr:col>
          <xdr:colOff>147638</xdr:colOff>
          <xdr:row>4</xdr:row>
          <xdr:rowOff>595313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409575</xdr:colOff>
          <xdr:row>4</xdr:row>
          <xdr:rowOff>733425</xdr:rowOff>
        </xdr:from>
        <xdr:to>
          <xdr:col>18</xdr:col>
          <xdr:colOff>171450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404813</xdr:colOff>
          <xdr:row>5</xdr:row>
          <xdr:rowOff>376238</xdr:rowOff>
        </xdr:from>
        <xdr:to>
          <xdr:col>18</xdr:col>
          <xdr:colOff>161925</xdr:colOff>
          <xdr:row>5</xdr:row>
          <xdr:rowOff>800100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7</xdr:row>
          <xdr:rowOff>123825</xdr:rowOff>
        </xdr:from>
        <xdr:to>
          <xdr:col>18</xdr:col>
          <xdr:colOff>200025</xdr:colOff>
          <xdr:row>7</xdr:row>
          <xdr:rowOff>476250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457200</xdr:colOff>
          <xdr:row>6</xdr:row>
          <xdr:rowOff>585788</xdr:rowOff>
        </xdr:from>
        <xdr:to>
          <xdr:col>18</xdr:col>
          <xdr:colOff>195263</xdr:colOff>
          <xdr:row>7</xdr:row>
          <xdr:rowOff>14288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8</xdr:row>
          <xdr:rowOff>157163</xdr:rowOff>
        </xdr:from>
        <xdr:to>
          <xdr:col>18</xdr:col>
          <xdr:colOff>171450</xdr:colOff>
          <xdr:row>9</xdr:row>
          <xdr:rowOff>252413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528638</xdr:colOff>
          <xdr:row>10</xdr:row>
          <xdr:rowOff>166688</xdr:rowOff>
        </xdr:from>
        <xdr:to>
          <xdr:col>18</xdr:col>
          <xdr:colOff>171450</xdr:colOff>
          <xdr:row>11</xdr:row>
          <xdr:rowOff>95250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783" name="Picture 735">
          <a:extLst>
            <a:ext uri="{FF2B5EF4-FFF2-40B4-BE49-F238E27FC236}">
              <a16:creationId xmlns:a16="http://schemas.microsoft.com/office/drawing/2014/main" id="{3B153DD6-BE02-4805-BB4F-7898AF8C2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12</xdr:row>
          <xdr:rowOff>276225</xdr:rowOff>
        </xdr:from>
        <xdr:to>
          <xdr:col>18</xdr:col>
          <xdr:colOff>209550</xdr:colOff>
          <xdr:row>13</xdr:row>
          <xdr:rowOff>228600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2126B5E2-BDBA-43A2-8ECC-8836963D4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="80" zoomScaleNormal="80" workbookViewId="0">
      <selection activeCell="M17" sqref="M17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10"/>
      <c r="C1" s="21"/>
      <c r="K1" s="32" t="s">
        <v>22</v>
      </c>
      <c r="L1" s="33" t="s">
        <v>67</v>
      </c>
    </row>
    <row r="2" spans="1:36" ht="46.9" customHeight="1" x14ac:dyDescent="1.5">
      <c r="A2" s="11"/>
      <c r="B2" s="12"/>
      <c r="C2" s="11"/>
      <c r="D2" s="11"/>
      <c r="E2" s="13"/>
      <c r="F2" s="29" t="s">
        <v>12</v>
      </c>
      <c r="G2" s="13"/>
      <c r="H2" s="13"/>
      <c r="I2" s="13"/>
      <c r="K2" s="53">
        <f ca="1">TODAY()</f>
        <v>43780</v>
      </c>
      <c r="L2" s="54">
        <f ca="1">NOW()-INT(NOW())</f>
        <v>0.71155694444314577</v>
      </c>
      <c r="N2" s="2"/>
      <c r="U2" s="42" t="s">
        <v>65</v>
      </c>
      <c r="AA2" s="39" t="s">
        <v>74</v>
      </c>
      <c r="AB2" s="40"/>
      <c r="AC2" s="36">
        <v>6</v>
      </c>
    </row>
    <row r="3" spans="1:36" ht="25.15" customHeight="1" x14ac:dyDescent="0.7">
      <c r="A3" s="11"/>
      <c r="B3" s="15"/>
      <c r="C3" s="16" t="s">
        <v>13</v>
      </c>
      <c r="D3" s="16" t="s">
        <v>14</v>
      </c>
      <c r="E3" s="16" t="s">
        <v>16</v>
      </c>
      <c r="F3" s="16" t="s">
        <v>15</v>
      </c>
      <c r="G3" s="16" t="s">
        <v>17</v>
      </c>
      <c r="H3" s="16" t="s">
        <v>18</v>
      </c>
      <c r="I3" s="16" t="s">
        <v>19</v>
      </c>
      <c r="K3" s="53"/>
      <c r="L3" s="54"/>
      <c r="N3" s="4"/>
      <c r="T3" t="s">
        <v>66</v>
      </c>
    </row>
    <row r="4" spans="1:36" ht="70.150000000000006" customHeight="1" x14ac:dyDescent="0.7">
      <c r="A4" s="11"/>
      <c r="B4" s="14">
        <v>1</v>
      </c>
      <c r="C4" s="51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52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>使用済</v>
      </c>
      <c r="E4" s="51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51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51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35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35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3"/>
      <c r="L4" s="13"/>
      <c r="M4" s="31"/>
      <c r="N4" s="31"/>
      <c r="T4" s="36" t="s">
        <v>64</v>
      </c>
      <c r="U4" s="39"/>
      <c r="V4" s="40"/>
      <c r="W4" s="40"/>
      <c r="X4" s="41"/>
      <c r="Z4" s="39" t="s">
        <v>75</v>
      </c>
      <c r="AA4" s="40"/>
      <c r="AB4" s="40" t="s">
        <v>76</v>
      </c>
      <c r="AC4" s="40"/>
      <c r="AD4" s="40"/>
      <c r="AE4" s="36">
        <v>6</v>
      </c>
    </row>
    <row r="5" spans="1:36" ht="70.150000000000006" customHeight="1" x14ac:dyDescent="0.7">
      <c r="A5" s="28"/>
      <c r="B5" s="14">
        <v>2</v>
      </c>
      <c r="C5" s="52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>使用済</v>
      </c>
      <c r="D5" s="51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51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51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51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35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35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3"/>
      <c r="L5" s="13"/>
      <c r="M5" s="31"/>
      <c r="N5" s="31"/>
      <c r="T5" s="36" t="s">
        <v>64</v>
      </c>
      <c r="U5" s="39"/>
      <c r="V5" s="40"/>
      <c r="W5" s="40"/>
      <c r="X5" s="41"/>
      <c r="Z5" s="36" t="s">
        <v>71</v>
      </c>
      <c r="AA5" s="36" t="s">
        <v>77</v>
      </c>
      <c r="AB5" s="36" t="s">
        <v>78</v>
      </c>
      <c r="AC5" s="36" t="s">
        <v>79</v>
      </c>
      <c r="AD5" s="36" t="s">
        <v>80</v>
      </c>
      <c r="AE5" s="36" t="s">
        <v>81</v>
      </c>
      <c r="AF5" s="36" t="s">
        <v>82</v>
      </c>
      <c r="AG5" s="36" t="s">
        <v>83</v>
      </c>
      <c r="AH5" s="36" t="s">
        <v>84</v>
      </c>
      <c r="AI5" s="36" t="s">
        <v>85</v>
      </c>
      <c r="AJ5" s="36" t="s">
        <v>86</v>
      </c>
    </row>
    <row r="6" spans="1:36" ht="70.150000000000006" customHeight="1" x14ac:dyDescent="0.7">
      <c r="A6" s="28"/>
      <c r="B6" s="14">
        <v>3</v>
      </c>
      <c r="C6" s="51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51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52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>使用済</v>
      </c>
      <c r="F6" s="52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使用済</v>
      </c>
      <c r="G6" s="52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>使用済</v>
      </c>
      <c r="H6" s="50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>使用中</v>
      </c>
      <c r="I6" s="49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>予約済</v>
      </c>
      <c r="K6" s="30"/>
      <c r="L6" s="30"/>
      <c r="T6" s="37" t="s">
        <v>73</v>
      </c>
      <c r="Z6" s="36">
        <v>1</v>
      </c>
      <c r="AA6" s="36" t="str">
        <f ca="1">IFERROR(IF(INDEX(生データ!$D:$D,MATCH(OFFSET($D$22,$Z6-1,$AE$4-1),生データ!$D:$D,1))=OFFSET($D$22,$Z6-1,$AE$4-1),VLOOKUP(OFFSET($D$22,$Z6-1,$AE$4-1),生データ!$D:$O,COLUMN(C1),TRUE),""),"")</f>
        <v/>
      </c>
      <c r="AB6" s="36" t="str">
        <f ca="1">IFERROR(IF(INDEX(生データ!$D:$D,MATCH(OFFSET($D$22,$Z6-1,$AE$4-1),生データ!$D:$D,1))=OFFSET($D$22,$Z6-1,$AE$4-1),VLOOKUP(OFFSET($D$22,$Z6-1,$AE$4-1),生データ!$D:$O,COLUMN(D1),TRUE),""),"")</f>
        <v/>
      </c>
      <c r="AC6" s="36" t="str">
        <f ca="1">IFERROR(IF(INDEX(生データ!$D:$D,MATCH(OFFSET($D$22,$Z6-1,$AE$4-1),生データ!$D:$D,1))=OFFSET($D$22,$Z6-1,$AE$4-1),VLOOKUP(OFFSET($D$22,$Z6-1,$AE$4-1),生データ!$D:$O,COLUMN(E1),TRUE),""),"")</f>
        <v/>
      </c>
      <c r="AD6" s="36" t="str">
        <f ca="1">IFERROR(IF(INDEX(生データ!$D:$D,MATCH(OFFSET($D$22,$Z6-1,$AE$4-1),生データ!$D:$D,1))=OFFSET($D$22,$Z6-1,$AE$4-1),VLOOKUP(OFFSET($D$22,$Z6-1,$AE$4-1),生データ!$D:$O,COLUMN(F1),TRUE),""),"")</f>
        <v/>
      </c>
      <c r="AE6" s="36" t="str">
        <f ca="1">IFERROR(IF(INDEX(生データ!$D:$D,MATCH(OFFSET($D$22,$Z6-1,$AE$4-1),生データ!$D:$D,1))=OFFSET($D$22,$Z6-1,$AE$4-1),VLOOKUP(OFFSET($D$22,$Z6-1,$AE$4-1),生データ!$D:$O,COLUMN(G1),TRUE),""),"")</f>
        <v/>
      </c>
      <c r="AF6" s="36" t="str">
        <f ca="1">IFERROR(IF(INDEX(生データ!$D:$D,MATCH(OFFSET($D$22,$Z6-1,$AE$4-1),生データ!$D:$D,1))=OFFSET($D$22,$Z6-1,$AE$4-1),VLOOKUP(OFFSET($D$22,$Z6-1,$AE$4-1),生データ!$D:$O,COLUMN(H1),TRUE),""),"")</f>
        <v/>
      </c>
      <c r="AG6" s="36" t="str">
        <f ca="1">IFERROR(IF(INDEX(生データ!$D:$D,MATCH(OFFSET($D$22,$Z6-1,$AE$4-1),生データ!$D:$D,1))=OFFSET($D$22,$Z6-1,$AE$4-1),VLOOKUP(OFFSET($D$22,$Z6-1,$AE$4-1),生データ!$D:$O,COLUMN(I1),TRUE),""),"")</f>
        <v/>
      </c>
      <c r="AH6" s="36" t="str">
        <f ca="1">IFERROR(IF(INDEX(生データ!$D:$D,MATCH(OFFSET($D$22,$Z6-1,$AE$4-1),生データ!$D:$D,1))=OFFSET($D$22,$Z6-1,$AE$4-1),VLOOKUP(OFFSET($D$22,$Z6-1,$AE$4-1),生データ!$D:$O,COLUMN(J1),TRUE),""),"")</f>
        <v/>
      </c>
      <c r="AI6" s="36" t="str">
        <f ca="1">IFERROR(IF(INDEX(生データ!$D:$D,MATCH(OFFSET($D$22,$Z6-1,$AE$4-1),生データ!$D:$D,1))=OFFSET($D$22,$Z6-1,$AE$4-1),VLOOKUP(OFFSET($D$22,$Z6-1,$AE$4-1),生データ!$D:$O,COLUMN(K1),TRUE),""),"")</f>
        <v/>
      </c>
      <c r="AJ6" s="36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8"/>
      <c r="B7" s="14">
        <v>4</v>
      </c>
      <c r="C7" s="51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52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>使用済</v>
      </c>
      <c r="E7" s="51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51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51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50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>使用中</v>
      </c>
      <c r="I7" s="35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30"/>
      <c r="L7" s="30"/>
      <c r="T7" s="36"/>
      <c r="U7" s="36"/>
      <c r="V7" s="36"/>
      <c r="W7" s="36"/>
      <c r="X7" s="36"/>
      <c r="Z7" s="36">
        <v>2</v>
      </c>
      <c r="AA7" s="36" t="str">
        <f ca="1">IFERROR(IF(INDEX(生データ!$D:$D,MATCH(OFFSET($D$22,$Z7-1,$AE$4-1),生データ!$D:$D,1))=OFFSET($D$22,$Z7-1,$AE$4-1),VLOOKUP(OFFSET($D$22,$Z7-1,$AE$4-1),生データ!$D:$O,COLUMN(C2),TRUE),""),"")</f>
        <v/>
      </c>
      <c r="AB7" s="36" t="str">
        <f ca="1">IFERROR(IF(INDEX(生データ!$D:$D,MATCH(OFFSET($D$22,$Z7-1,$AE$4-1),生データ!$D:$D,1))=OFFSET($D$22,$Z7-1,$AE$4-1),VLOOKUP(OFFSET($D$22,$Z7-1,$AE$4-1),生データ!$D:$O,COLUMN(D2),TRUE),""),"")</f>
        <v/>
      </c>
      <c r="AC7" s="36" t="str">
        <f ca="1">IFERROR(IF(INDEX(生データ!$D:$D,MATCH(OFFSET($D$22,$Z7-1,$AE$4-1),生データ!$D:$D,1))=OFFSET($D$22,$Z7-1,$AE$4-1),VLOOKUP(OFFSET($D$22,$Z7-1,$AE$4-1),生データ!$D:$O,COLUMN(E2),TRUE),""),"")</f>
        <v/>
      </c>
      <c r="AD7" s="36" t="str">
        <f ca="1">IFERROR(IF(INDEX(生データ!$D:$D,MATCH(OFFSET($D$22,$Z7-1,$AE$4-1),生データ!$D:$D,1))=OFFSET($D$22,$Z7-1,$AE$4-1),VLOOKUP(OFFSET($D$22,$Z7-1,$AE$4-1),生データ!$D:$O,COLUMN(F2),TRUE),""),"")</f>
        <v/>
      </c>
      <c r="AE7" s="36" t="str">
        <f ca="1">IFERROR(IF(INDEX(生データ!$D:$D,MATCH(OFFSET($D$22,$Z7-1,$AE$4-1),生データ!$D:$D,1))=OFFSET($D$22,$Z7-1,$AE$4-1),VLOOKUP(OFFSET($D$22,$Z7-1,$AE$4-1),生データ!$D:$O,COLUMN(G2),TRUE),""),"")</f>
        <v/>
      </c>
      <c r="AF7" s="36" t="str">
        <f ca="1">IFERROR(IF(INDEX(生データ!$D:$D,MATCH(OFFSET($D$22,$Z7-1,$AE$4-1),生データ!$D:$D,1))=OFFSET($D$22,$Z7-1,$AE$4-1),VLOOKUP(OFFSET($D$22,$Z7-1,$AE$4-1),生データ!$D:$O,COLUMN(H2),TRUE),""),"")</f>
        <v/>
      </c>
      <c r="AG7" s="36" t="str">
        <f ca="1">IFERROR(IF(INDEX(生データ!$D:$D,MATCH(OFFSET($D$22,$Z7-1,$AE$4-1),生データ!$D:$D,1))=OFFSET($D$22,$Z7-1,$AE$4-1),VLOOKUP(OFFSET($D$22,$Z7-1,$AE$4-1),生データ!$D:$O,COLUMN(I2),TRUE),""),"")</f>
        <v/>
      </c>
      <c r="AH7" s="36" t="str">
        <f ca="1">IFERROR(IF(INDEX(生データ!$D:$D,MATCH(OFFSET($D$22,$Z7-1,$AE$4-1),生データ!$D:$D,1))=OFFSET($D$22,$Z7-1,$AE$4-1),VLOOKUP(OFFSET($D$22,$Z7-1,$AE$4-1),生データ!$D:$O,COLUMN(J2),TRUE),""),"")</f>
        <v/>
      </c>
      <c r="AI7" s="36" t="str">
        <f ca="1">IFERROR(IF(INDEX(生データ!$D:$D,MATCH(OFFSET($D$22,$Z7-1,$AE$4-1),生データ!$D:$D,1))=OFFSET($D$22,$Z7-1,$AE$4-1),VLOOKUP(OFFSET($D$22,$Z7-1,$AE$4-1),生データ!$D:$O,COLUMN(K2),TRUE),""),"")</f>
        <v/>
      </c>
      <c r="AJ7" s="36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3"/>
      <c r="B8" s="14">
        <v>5</v>
      </c>
      <c r="C8" s="51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51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51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51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51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35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5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6">
        <v>3</v>
      </c>
      <c r="AA8" s="36">
        <f ca="1">IFERROR(IF(INDEX(生データ!$D:$D,MATCH(OFFSET($D$22,$Z8-1,$AE$4-1),生データ!$D:$D,1))=OFFSET($D$22,$Z8-1,$AE$4-1),VLOOKUP(OFFSET($D$22,$Z8-1,$AE$4-1),生データ!$D:$O,COLUMN(C3),TRUE),""),"")</f>
        <v>252599333</v>
      </c>
      <c r="AB8" s="36">
        <f ca="1">IFERROR(IF(INDEX(生データ!$D:$D,MATCH(OFFSET($D$22,$Z8-1,$AE$4-1),生データ!$D:$D,1))=OFFSET($D$22,$Z8-1,$AE$4-1),VLOOKUP(OFFSET($D$22,$Z8-1,$AE$4-1),生データ!$D:$O,COLUMN(D3),TRUE),""),"")</f>
        <v>0</v>
      </c>
      <c r="AC8" s="36">
        <f ca="1">IFERROR(IF(INDEX(生データ!$D:$D,MATCH(OFFSET($D$22,$Z8-1,$AE$4-1),生データ!$D:$D,1))=OFFSET($D$22,$Z8-1,$AE$4-1),VLOOKUP(OFFSET($D$22,$Z8-1,$AE$4-1),生データ!$D:$O,COLUMN(E3),TRUE),""),"")</f>
        <v>0</v>
      </c>
      <c r="AD8" s="36">
        <f ca="1">IFERROR(IF(INDEX(生データ!$D:$D,MATCH(OFFSET($D$22,$Z8-1,$AE$4-1),生データ!$D:$D,1))=OFFSET($D$22,$Z8-1,$AE$4-1),VLOOKUP(OFFSET($D$22,$Z8-1,$AE$4-1),生データ!$D:$O,COLUMN(F3),TRUE),""),"")</f>
        <v>0</v>
      </c>
      <c r="AE8" s="36">
        <f ca="1">IFERROR(IF(INDEX(生データ!$D:$D,MATCH(OFFSET($D$22,$Z8-1,$AE$4-1),生データ!$D:$D,1))=OFFSET($D$22,$Z8-1,$AE$4-1),VLOOKUP(OFFSET($D$22,$Z8-1,$AE$4-1),生データ!$D:$O,COLUMN(G3),TRUE),""),"")</f>
        <v>0</v>
      </c>
      <c r="AF8" s="36">
        <f ca="1">IFERROR(IF(INDEX(生データ!$D:$D,MATCH(OFFSET($D$22,$Z8-1,$AE$4-1),生データ!$D:$D,1))=OFFSET($D$22,$Z8-1,$AE$4-1),VLOOKUP(OFFSET($D$22,$Z8-1,$AE$4-1),生データ!$D:$O,COLUMN(H3),TRUE),""),"")</f>
        <v>0</v>
      </c>
      <c r="AG8" s="36">
        <f ca="1">IFERROR(IF(INDEX(生データ!$D:$D,MATCH(OFFSET($D$22,$Z8-1,$AE$4-1),生データ!$D:$D,1))=OFFSET($D$22,$Z8-1,$AE$4-1),VLOOKUP(OFFSET($D$22,$Z8-1,$AE$4-1),生データ!$D:$O,COLUMN(I3),TRUE),""),"")</f>
        <v>0</v>
      </c>
      <c r="AH8" s="36">
        <f ca="1">IFERROR(IF(INDEX(生データ!$D:$D,MATCH(OFFSET($D$22,$Z8-1,$AE$4-1),生データ!$D:$D,1))=OFFSET($D$22,$Z8-1,$AE$4-1),VLOOKUP(OFFSET($D$22,$Z8-1,$AE$4-1),生データ!$D:$O,COLUMN(J3),TRUE),""),"")</f>
        <v>0</v>
      </c>
      <c r="AI8" s="36">
        <f ca="1">IFERROR(IF(INDEX(生データ!$D:$D,MATCH(OFFSET($D$22,$Z8-1,$AE$4-1),生データ!$D:$D,1))=OFFSET($D$22,$Z8-1,$AE$4-1),VLOOKUP(OFFSET($D$22,$Z8-1,$AE$4-1),生データ!$D:$O,COLUMN(K3),TRUE),""),"")</f>
        <v>0</v>
      </c>
      <c r="AJ8" s="36">
        <f ca="1">IFERROR(IF(INDEX(生データ!$D:$D,MATCH(OFFSET($D$22,$Z8-1,$AE$4-1),生データ!$D:$D,1))=OFFSET($D$22,$Z8-1,$AE$4-1),VLOOKUP(OFFSET($D$22,$Z8-1,$AE$4-1),生データ!$D:$O,COLUMN(L3),TRUE),""),"")</f>
        <v>0</v>
      </c>
    </row>
    <row r="9" spans="1:36" ht="20.100000000000001" customHeight="1" x14ac:dyDescent="0.7">
      <c r="Z9" s="36">
        <v>4</v>
      </c>
      <c r="AA9" s="36">
        <f ca="1">IFERROR(IF(INDEX(生データ!$D:$D,MATCH(OFFSET($D$22,$Z9-1,$AE$4-1),生データ!$D:$D,1))=OFFSET($D$22,$Z9-1,$AE$4-1),VLOOKUP(OFFSET($D$22,$Z9-1,$AE$4-1),生データ!$D:$O,COLUMN(C4),TRUE),""),"")</f>
        <v>242599555</v>
      </c>
      <c r="AB9" s="36">
        <f ca="1">IFERROR(IF(INDEX(生データ!$D:$D,MATCH(OFFSET($D$22,$Z9-1,$AE$4-1),生データ!$D:$D,1))=OFFSET($D$22,$Z9-1,$AE$4-1),VLOOKUP(OFFSET($D$22,$Z9-1,$AE$4-1),生データ!$D:$O,COLUMN(D4),TRUE),""),"")</f>
        <v>0</v>
      </c>
      <c r="AC9" s="36">
        <f ca="1">IFERROR(IF(INDEX(生データ!$D:$D,MATCH(OFFSET($D$22,$Z9-1,$AE$4-1),生データ!$D:$D,1))=OFFSET($D$22,$Z9-1,$AE$4-1),VLOOKUP(OFFSET($D$22,$Z9-1,$AE$4-1),生データ!$D:$O,COLUMN(E4),TRUE),""),"")</f>
        <v>0</v>
      </c>
      <c r="AD9" s="36">
        <f ca="1">IFERROR(IF(INDEX(生データ!$D:$D,MATCH(OFFSET($D$22,$Z9-1,$AE$4-1),生データ!$D:$D,1))=OFFSET($D$22,$Z9-1,$AE$4-1),VLOOKUP(OFFSET($D$22,$Z9-1,$AE$4-1),生データ!$D:$O,COLUMN(F4),TRUE),""),"")</f>
        <v>0</v>
      </c>
      <c r="AE9" s="36">
        <f ca="1">IFERROR(IF(INDEX(生データ!$D:$D,MATCH(OFFSET($D$22,$Z9-1,$AE$4-1),生データ!$D:$D,1))=OFFSET($D$22,$Z9-1,$AE$4-1),VLOOKUP(OFFSET($D$22,$Z9-1,$AE$4-1),生データ!$D:$O,COLUMN(G4),TRUE),""),"")</f>
        <v>0</v>
      </c>
      <c r="AF9" s="36">
        <f ca="1">IFERROR(IF(INDEX(生データ!$D:$D,MATCH(OFFSET($D$22,$Z9-1,$AE$4-1),生データ!$D:$D,1))=OFFSET($D$22,$Z9-1,$AE$4-1),VLOOKUP(OFFSET($D$22,$Z9-1,$AE$4-1),生データ!$D:$O,COLUMN(H4),TRUE),""),"")</f>
        <v>0</v>
      </c>
      <c r="AG9" s="36">
        <f ca="1">IFERROR(IF(INDEX(生データ!$D:$D,MATCH(OFFSET($D$22,$Z9-1,$AE$4-1),生データ!$D:$D,1))=OFFSET($D$22,$Z9-1,$AE$4-1),VLOOKUP(OFFSET($D$22,$Z9-1,$AE$4-1),生データ!$D:$O,COLUMN(I4),TRUE),""),"")</f>
        <v>0</v>
      </c>
      <c r="AH9" s="36">
        <f ca="1">IFERROR(IF(INDEX(生データ!$D:$D,MATCH(OFFSET($D$22,$Z9-1,$AE$4-1),生データ!$D:$D,1))=OFFSET($D$22,$Z9-1,$AE$4-1),VLOOKUP(OFFSET($D$22,$Z9-1,$AE$4-1),生データ!$D:$O,COLUMN(J4),TRUE),""),"")</f>
        <v>0</v>
      </c>
      <c r="AI9" s="36">
        <f ca="1">IFERROR(IF(INDEX(生データ!$D:$D,MATCH(OFFSET($D$22,$Z9-1,$AE$4-1),生データ!$D:$D,1))=OFFSET($D$22,$Z9-1,$AE$4-1),VLOOKUP(OFFSET($D$22,$Z9-1,$AE$4-1),生データ!$D:$O,COLUMN(K4),TRUE),""),"")</f>
        <v>0</v>
      </c>
      <c r="AJ9" s="36">
        <f ca="1">IFERROR(IF(INDEX(生データ!$D:$D,MATCH(OFFSET($D$22,$Z9-1,$AE$4-1),生データ!$D:$D,1))=OFFSET($D$22,$Z9-1,$AE$4-1),VLOOKUP(OFFSET($D$22,$Z9-1,$AE$4-1),生データ!$D:$O,COLUMN(L4),TRUE),""),"")</f>
        <v>0</v>
      </c>
    </row>
    <row r="10" spans="1:36" ht="30" customHeight="1" x14ac:dyDescent="0.7">
      <c r="C10" s="34" t="s">
        <v>69</v>
      </c>
      <c r="Z10" s="36">
        <v>5</v>
      </c>
      <c r="AA10" s="36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6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6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6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6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6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6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6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6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6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8" t="s">
        <v>68</v>
      </c>
    </row>
    <row r="12" spans="1:36" ht="30" customHeight="1" x14ac:dyDescent="0.7">
      <c r="C12" s="18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8" t="str">
        <f>IF($T$16="on","現在、混雑のため現在のコマのみ予約可能です","")</f>
        <v/>
      </c>
      <c r="H13" s="1"/>
    </row>
    <row r="14" spans="1:36" ht="30" customHeight="1" x14ac:dyDescent="0.7">
      <c r="H14" s="1"/>
      <c r="T14" s="36">
        <v>2</v>
      </c>
      <c r="U14" s="39"/>
      <c r="V14" s="40" t="s">
        <v>70</v>
      </c>
      <c r="W14" s="40"/>
      <c r="X14" s="41"/>
    </row>
    <row r="15" spans="1:36" ht="30" customHeight="1" x14ac:dyDescent="0.7">
      <c r="B15" s="3"/>
      <c r="T15" s="47"/>
      <c r="U15" s="43"/>
      <c r="V15" s="43"/>
      <c r="W15" s="43"/>
      <c r="X15" s="44"/>
    </row>
    <row r="16" spans="1:36" ht="29.45" customHeight="1" x14ac:dyDescent="0.7">
      <c r="T16" s="48" t="s">
        <v>64</v>
      </c>
      <c r="U16" s="45"/>
      <c r="V16" s="45"/>
      <c r="W16" s="45"/>
      <c r="X16" s="46"/>
    </row>
    <row r="17" spans="3:10" x14ac:dyDescent="0.7">
      <c r="G17" s="6"/>
      <c r="H17" s="3"/>
    </row>
    <row r="18" spans="3:10" x14ac:dyDescent="0.7">
      <c r="G18" s="6"/>
      <c r="H18" s="3"/>
    </row>
    <row r="19" spans="3:10" x14ac:dyDescent="0.7">
      <c r="C19" s="3"/>
      <c r="D19" s="3"/>
      <c r="G19" s="6"/>
      <c r="H19" s="3"/>
    </row>
    <row r="20" spans="3:10" x14ac:dyDescent="0.7">
      <c r="C20" s="3"/>
      <c r="D20" s="3"/>
      <c r="G20" s="6"/>
      <c r="H20" s="3"/>
    </row>
    <row r="21" spans="3:10" hidden="1" x14ac:dyDescent="0.7">
      <c r="C21" s="3" t="str">
        <f ca="1">TEXT(K2,"yyyymmdd")</f>
        <v>20191111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2019111111</v>
      </c>
      <c r="E22" s="3">
        <f t="shared" ref="E22:J22" ca="1" si="0">$C$21*100+E$21*10+$C22</f>
        <v>2019111121</v>
      </c>
      <c r="F22" s="3">
        <f t="shared" ca="1" si="0"/>
        <v>2019111131</v>
      </c>
      <c r="G22" s="3">
        <f t="shared" ca="1" si="0"/>
        <v>2019111141</v>
      </c>
      <c r="H22" s="3">
        <f t="shared" ca="1" si="0"/>
        <v>2019111151</v>
      </c>
      <c r="I22" s="3">
        <f t="shared" ca="1" si="0"/>
        <v>2019111161</v>
      </c>
      <c r="J22" s="3">
        <f t="shared" ca="1" si="0"/>
        <v>2019111171</v>
      </c>
    </row>
    <row r="23" spans="3:10" hidden="1" x14ac:dyDescent="0.7">
      <c r="C23" s="3">
        <v>2</v>
      </c>
      <c r="D23" s="3">
        <f t="shared" ref="D23:J26" ca="1" si="1">$C$21*100+D$21*10+$C23</f>
        <v>2019111112</v>
      </c>
      <c r="E23" s="3">
        <f t="shared" ca="1" si="1"/>
        <v>2019111122</v>
      </c>
      <c r="F23" s="3">
        <f t="shared" ca="1" si="1"/>
        <v>2019111132</v>
      </c>
      <c r="G23" s="3">
        <f t="shared" ca="1" si="1"/>
        <v>2019111142</v>
      </c>
      <c r="H23" s="3">
        <f t="shared" ca="1" si="1"/>
        <v>2019111152</v>
      </c>
      <c r="I23" s="3">
        <f t="shared" ca="1" si="1"/>
        <v>2019111162</v>
      </c>
      <c r="J23" s="3">
        <f t="shared" ca="1" si="1"/>
        <v>2019111172</v>
      </c>
    </row>
    <row r="24" spans="3:10" hidden="1" x14ac:dyDescent="0.7">
      <c r="C24" s="3">
        <v>3</v>
      </c>
      <c r="D24" s="3">
        <f t="shared" ca="1" si="1"/>
        <v>2019111113</v>
      </c>
      <c r="E24" s="3">
        <f t="shared" ca="1" si="1"/>
        <v>2019111123</v>
      </c>
      <c r="F24" s="3">
        <f t="shared" ca="1" si="1"/>
        <v>2019111133</v>
      </c>
      <c r="G24" s="3">
        <f t="shared" ca="1" si="1"/>
        <v>2019111143</v>
      </c>
      <c r="H24" s="3">
        <f t="shared" ca="1" si="1"/>
        <v>2019111153</v>
      </c>
      <c r="I24" s="3">
        <f t="shared" ca="1" si="1"/>
        <v>2019111163</v>
      </c>
      <c r="J24" s="3">
        <f t="shared" ca="1" si="1"/>
        <v>2019111173</v>
      </c>
    </row>
    <row r="25" spans="3:10" hidden="1" x14ac:dyDescent="0.7">
      <c r="C25" s="3">
        <v>4</v>
      </c>
      <c r="D25" s="3">
        <f t="shared" ca="1" si="1"/>
        <v>2019111114</v>
      </c>
      <c r="E25" s="3">
        <f t="shared" ca="1" si="1"/>
        <v>2019111124</v>
      </c>
      <c r="F25" s="3">
        <f t="shared" ca="1" si="1"/>
        <v>2019111134</v>
      </c>
      <c r="G25" s="3">
        <f t="shared" ca="1" si="1"/>
        <v>2019111144</v>
      </c>
      <c r="H25" s="3">
        <f t="shared" ca="1" si="1"/>
        <v>2019111154</v>
      </c>
      <c r="I25" s="3">
        <f t="shared" ca="1" si="1"/>
        <v>2019111164</v>
      </c>
      <c r="J25" s="3">
        <f t="shared" ca="1" si="1"/>
        <v>2019111174</v>
      </c>
    </row>
    <row r="26" spans="3:10" hidden="1" x14ac:dyDescent="0.7">
      <c r="C26" s="3">
        <v>5</v>
      </c>
      <c r="D26" s="3">
        <f t="shared" ca="1" si="1"/>
        <v>2019111115</v>
      </c>
      <c r="E26" s="3">
        <f t="shared" ca="1" si="1"/>
        <v>2019111125</v>
      </c>
      <c r="F26" s="3">
        <f t="shared" ca="1" si="1"/>
        <v>2019111135</v>
      </c>
      <c r="G26" s="3">
        <f t="shared" ca="1" si="1"/>
        <v>2019111145</v>
      </c>
      <c r="H26" s="3">
        <f t="shared" ca="1" si="1"/>
        <v>2019111155</v>
      </c>
      <c r="I26" s="3">
        <f t="shared" ca="1" si="1"/>
        <v>2019111165</v>
      </c>
      <c r="J26" s="3">
        <f t="shared" ca="1" si="1"/>
        <v>2019111175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2">
    <mergeCell ref="K2:K3"/>
    <mergeCell ref="L2:L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18</xdr:col>
                    <xdr:colOff>595313</xdr:colOff>
                    <xdr:row>7</xdr:row>
                    <xdr:rowOff>200025</xdr:rowOff>
                  </from>
                  <to>
                    <xdr:col>24</xdr:col>
                    <xdr:colOff>171450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18</xdr:col>
                    <xdr:colOff>600075</xdr:colOff>
                    <xdr:row>5</xdr:row>
                    <xdr:rowOff>114300</xdr:rowOff>
                  </from>
                  <to>
                    <xdr:col>24</xdr:col>
                    <xdr:colOff>161925</xdr:colOff>
                    <xdr:row>5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18</xdr:col>
                    <xdr:colOff>576263</xdr:colOff>
                    <xdr:row>11</xdr:row>
                    <xdr:rowOff>209550</xdr:rowOff>
                  </from>
                  <to>
                    <xdr:col>24</xdr:col>
                    <xdr:colOff>266700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18</xdr:col>
                    <xdr:colOff>566738</xdr:colOff>
                    <xdr:row>10</xdr:row>
                    <xdr:rowOff>28575</xdr:rowOff>
                  </from>
                  <to>
                    <xdr:col>24</xdr:col>
                    <xdr:colOff>233363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18</xdr:col>
                    <xdr:colOff>566738</xdr:colOff>
                    <xdr:row>8</xdr:row>
                    <xdr:rowOff>23813</xdr:rowOff>
                  </from>
                  <to>
                    <xdr:col>24</xdr:col>
                    <xdr:colOff>209550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14</xdr:col>
                    <xdr:colOff>385763</xdr:colOff>
                    <xdr:row>3</xdr:row>
                    <xdr:rowOff>47625</xdr:rowOff>
                  </from>
                  <to>
                    <xdr:col>18</xdr:col>
                    <xdr:colOff>157163</xdr:colOff>
                    <xdr:row>3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14</xdr:col>
                    <xdr:colOff>385763</xdr:colOff>
                    <xdr:row>3</xdr:row>
                    <xdr:rowOff>595313</xdr:rowOff>
                  </from>
                  <to>
                    <xdr:col>18</xdr:col>
                    <xdr:colOff>138113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14</xdr:col>
                    <xdr:colOff>423863</xdr:colOff>
                    <xdr:row>4</xdr:row>
                    <xdr:rowOff>200025</xdr:rowOff>
                  </from>
                  <to>
                    <xdr:col>18</xdr:col>
                    <xdr:colOff>147638</xdr:colOff>
                    <xdr:row>4</xdr:row>
                    <xdr:rowOff>595313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14</xdr:col>
                    <xdr:colOff>409575</xdr:colOff>
                    <xdr:row>4</xdr:row>
                    <xdr:rowOff>733425</xdr:rowOff>
                  </from>
                  <to>
                    <xdr:col>18</xdr:col>
                    <xdr:colOff>171450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14</xdr:col>
                    <xdr:colOff>404813</xdr:colOff>
                    <xdr:row>5</xdr:row>
                    <xdr:rowOff>376238</xdr:rowOff>
                  </from>
                  <to>
                    <xdr:col>18</xdr:col>
                    <xdr:colOff>161925</xdr:colOff>
                    <xdr:row>5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14</xdr:col>
                    <xdr:colOff>447675</xdr:colOff>
                    <xdr:row>7</xdr:row>
                    <xdr:rowOff>123825</xdr:rowOff>
                  </from>
                  <to>
                    <xdr:col>18</xdr:col>
                    <xdr:colOff>200025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14</xdr:col>
                    <xdr:colOff>457200</xdr:colOff>
                    <xdr:row>6</xdr:row>
                    <xdr:rowOff>585788</xdr:rowOff>
                  </from>
                  <to>
                    <xdr:col>18</xdr:col>
                    <xdr:colOff>195263</xdr:colOff>
                    <xdr:row>7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14</xdr:col>
                    <xdr:colOff>495300</xdr:colOff>
                    <xdr:row>8</xdr:row>
                    <xdr:rowOff>157163</xdr:rowOff>
                  </from>
                  <to>
                    <xdr:col>18</xdr:col>
                    <xdr:colOff>171450</xdr:colOff>
                    <xdr:row>9</xdr:row>
                    <xdr:rowOff>252413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14</xdr:col>
                    <xdr:colOff>528638</xdr:colOff>
                    <xdr:row>10</xdr:row>
                    <xdr:rowOff>166688</xdr:rowOff>
                  </from>
                  <to>
                    <xdr:col>18</xdr:col>
                    <xdr:colOff>171450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14</xdr:col>
                    <xdr:colOff>590550</xdr:colOff>
                    <xdr:row>12</xdr:row>
                    <xdr:rowOff>276225</xdr:rowOff>
                  </from>
                  <to>
                    <xdr:col>18</xdr:col>
                    <xdr:colOff>209550</xdr:colOff>
                    <xdr:row>13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H10" sqref="H10"/>
    </sheetView>
  </sheetViews>
  <sheetFormatPr defaultRowHeight="17.649999999999999" x14ac:dyDescent="0.7"/>
  <cols>
    <col min="4" max="4" width="13.25" customWidth="1"/>
    <col min="5" max="5" width="67" customWidth="1"/>
    <col min="6" max="6" width="12.125" bestFit="1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x14ac:dyDescent="0.7">
      <c r="A3" s="27"/>
      <c r="B3" s="27"/>
      <c r="C3" s="27"/>
      <c r="D3" s="27"/>
      <c r="E3" s="38"/>
      <c r="F3" s="27"/>
      <c r="G3" s="27"/>
      <c r="H3" s="27"/>
      <c r="I3" s="27"/>
      <c r="J3" s="27"/>
      <c r="K3" s="27"/>
      <c r="L3" s="27"/>
    </row>
    <row r="4" spans="1:12" x14ac:dyDescent="0.7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1:12" x14ac:dyDescent="0.7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2" x14ac:dyDescent="0.7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</row>
    <row r="7" spans="1:12" x14ac:dyDescent="0.7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x14ac:dyDescent="0.7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x14ac:dyDescent="0.7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x14ac:dyDescent="0.7">
      <c r="A10" s="27"/>
      <c r="B10" s="27"/>
      <c r="C10" s="27"/>
      <c r="D10" s="27"/>
      <c r="E10" s="27"/>
      <c r="F10" s="30"/>
      <c r="G10" s="27"/>
      <c r="H10" s="27"/>
      <c r="I10" s="27"/>
      <c r="J10" s="27"/>
      <c r="K10" s="27"/>
      <c r="L10" s="27"/>
    </row>
    <row r="11" spans="1:12" x14ac:dyDescent="0.7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x14ac:dyDescent="0.7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x14ac:dyDescent="0.7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x14ac:dyDescent="0.7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x14ac:dyDescent="0.7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x14ac:dyDescent="0.7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x14ac:dyDescent="0.7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29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72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7" customFormat="1" x14ac:dyDescent="0.7">
      <c r="A3" s="27">
        <v>20191106</v>
      </c>
      <c r="B3" s="27">
        <v>4</v>
      </c>
      <c r="C3" s="27">
        <v>2</v>
      </c>
      <c r="D3" s="27">
        <v>2019110642</v>
      </c>
      <c r="E3" s="27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7" customFormat="1" x14ac:dyDescent="0.7">
      <c r="A4" s="27">
        <v>20191106</v>
      </c>
      <c r="B4" s="27">
        <v>5</v>
      </c>
      <c r="C4" s="27">
        <v>1</v>
      </c>
      <c r="D4" s="27">
        <v>2019110651</v>
      </c>
      <c r="E4" s="27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7" customFormat="1" x14ac:dyDescent="0.7">
      <c r="A5" s="27">
        <v>20191106</v>
      </c>
      <c r="B5" s="27">
        <v>5</v>
      </c>
      <c r="C5" s="27">
        <v>2</v>
      </c>
      <c r="D5" s="27">
        <v>2019110652</v>
      </c>
      <c r="E5" s="27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7" customFormat="1" x14ac:dyDescent="0.7">
      <c r="A6" s="27">
        <v>20191106</v>
      </c>
      <c r="B6" s="27">
        <v>5</v>
      </c>
      <c r="C6" s="27">
        <v>3</v>
      </c>
      <c r="D6" s="27">
        <v>2019110653</v>
      </c>
      <c r="E6" s="27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7" customFormat="1" x14ac:dyDescent="0.7">
      <c r="A7" s="27">
        <v>20191106</v>
      </c>
      <c r="B7" s="27">
        <v>5</v>
      </c>
      <c r="C7" s="27">
        <v>4</v>
      </c>
      <c r="D7" s="27">
        <v>2019110654</v>
      </c>
      <c r="E7" s="27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7" customFormat="1" x14ac:dyDescent="0.7">
      <c r="A8" s="27">
        <v>20191106</v>
      </c>
      <c r="B8" s="27">
        <v>5</v>
      </c>
      <c r="C8" s="27">
        <v>5</v>
      </c>
      <c r="D8" s="27">
        <v>2019110655</v>
      </c>
      <c r="E8" s="27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7" customFormat="1" x14ac:dyDescent="0.7">
      <c r="A9" s="27">
        <v>20191106</v>
      </c>
      <c r="B9" s="27">
        <v>6</v>
      </c>
      <c r="C9" s="27">
        <v>1</v>
      </c>
      <c r="D9" s="27">
        <v>2019110661</v>
      </c>
      <c r="E9" s="27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7" customFormat="1" x14ac:dyDescent="0.7">
      <c r="A10" s="27">
        <v>20191106</v>
      </c>
      <c r="B10" s="27">
        <v>6</v>
      </c>
      <c r="C10" s="27">
        <v>3</v>
      </c>
      <c r="D10" s="27">
        <v>2019110663</v>
      </c>
      <c r="E10" s="27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7" customFormat="1" x14ac:dyDescent="0.7">
      <c r="A11" s="27">
        <v>20191106</v>
      </c>
      <c r="B11" s="27">
        <v>7</v>
      </c>
      <c r="C11" s="27">
        <v>3</v>
      </c>
      <c r="D11" s="27">
        <v>2019110673</v>
      </c>
      <c r="E11" s="27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7" customFormat="1" x14ac:dyDescent="0.7">
      <c r="A12" s="27">
        <v>20191108</v>
      </c>
      <c r="B12" s="27">
        <v>2</v>
      </c>
      <c r="C12" s="27">
        <v>3</v>
      </c>
      <c r="D12" s="27">
        <v>2019110823</v>
      </c>
      <c r="E12" s="27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7" customFormat="1" x14ac:dyDescent="0.7">
      <c r="A13" s="27">
        <v>20191108</v>
      </c>
      <c r="B13" s="27">
        <v>2</v>
      </c>
      <c r="C13" s="27">
        <v>4</v>
      </c>
      <c r="D13" s="27">
        <v>2019110824</v>
      </c>
      <c r="E13" s="27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7" customFormat="1" x14ac:dyDescent="0.7">
      <c r="A14" s="27">
        <v>20191108</v>
      </c>
      <c r="B14" s="27">
        <v>3</v>
      </c>
      <c r="C14" s="27">
        <v>2</v>
      </c>
      <c r="D14" s="27">
        <v>2019110832</v>
      </c>
      <c r="E14" s="27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7" customFormat="1" x14ac:dyDescent="0.7">
      <c r="A15" s="27">
        <v>20191108</v>
      </c>
      <c r="B15" s="27">
        <v>3</v>
      </c>
      <c r="C15" s="27">
        <v>4</v>
      </c>
      <c r="D15" s="27">
        <v>2019110834</v>
      </c>
      <c r="E15" s="27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7" customFormat="1" x14ac:dyDescent="0.7">
      <c r="A16" s="27">
        <v>20191108</v>
      </c>
      <c r="B16" s="27">
        <v>4</v>
      </c>
      <c r="C16" s="27">
        <v>4</v>
      </c>
      <c r="D16" s="27">
        <v>2019110844</v>
      </c>
      <c r="E16" s="27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7" customFormat="1" x14ac:dyDescent="0.7">
      <c r="A17" s="27">
        <v>20191108</v>
      </c>
      <c r="B17" s="27">
        <v>6</v>
      </c>
      <c r="C17" s="27">
        <v>3</v>
      </c>
      <c r="D17" s="27">
        <v>2019110863</v>
      </c>
      <c r="E17" s="27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7" customFormat="1" x14ac:dyDescent="0.7">
      <c r="A18" s="27">
        <v>20191109</v>
      </c>
      <c r="B18" s="27">
        <v>2</v>
      </c>
      <c r="C18" s="27">
        <v>1</v>
      </c>
      <c r="D18" s="27">
        <v>2019110921</v>
      </c>
      <c r="E18" s="27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7" customFormat="1" x14ac:dyDescent="0.7">
      <c r="A19" s="27">
        <v>20191109</v>
      </c>
      <c r="B19" s="27">
        <v>3</v>
      </c>
      <c r="C19" s="27">
        <v>2</v>
      </c>
      <c r="D19" s="27">
        <v>2019110932</v>
      </c>
      <c r="E19" s="27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7" customFormat="1" x14ac:dyDescent="0.7">
      <c r="A20" s="27">
        <v>20191109</v>
      </c>
      <c r="B20" s="27">
        <v>4</v>
      </c>
      <c r="C20" s="27">
        <v>1</v>
      </c>
      <c r="D20" s="27">
        <v>2019110941</v>
      </c>
      <c r="E20" s="27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7" customFormat="1" x14ac:dyDescent="0.7">
      <c r="A21" s="27">
        <v>20191109</v>
      </c>
      <c r="B21" s="27">
        <v>4</v>
      </c>
      <c r="C21" s="27">
        <v>2</v>
      </c>
      <c r="D21" s="27">
        <v>2019110942</v>
      </c>
      <c r="E21" s="27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7" customFormat="1" x14ac:dyDescent="0.7">
      <c r="A22" s="27">
        <v>20191109</v>
      </c>
      <c r="B22" s="27">
        <v>4</v>
      </c>
      <c r="C22" s="27">
        <v>3</v>
      </c>
      <c r="D22" s="27">
        <v>2019110943</v>
      </c>
      <c r="E22" s="27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7" customFormat="1" x14ac:dyDescent="0.7">
      <c r="A23" s="27">
        <v>20191109</v>
      </c>
      <c r="B23" s="27">
        <v>5</v>
      </c>
      <c r="C23" s="27">
        <v>1</v>
      </c>
      <c r="D23" s="27">
        <v>2019110951</v>
      </c>
      <c r="E23" s="27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7" customFormat="1" x14ac:dyDescent="0.7">
      <c r="A24" s="27">
        <v>20191109</v>
      </c>
      <c r="B24" s="27">
        <v>5</v>
      </c>
      <c r="C24" s="27">
        <v>3</v>
      </c>
      <c r="D24" s="27">
        <v>2019110953</v>
      </c>
      <c r="E24" s="27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7" customFormat="1" x14ac:dyDescent="0.7">
      <c r="A25" s="27">
        <v>20191109</v>
      </c>
      <c r="B25" s="27">
        <v>6</v>
      </c>
      <c r="C25" s="27">
        <v>1</v>
      </c>
      <c r="D25" s="27">
        <v>2019110961</v>
      </c>
      <c r="E25" s="27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7" customFormat="1" x14ac:dyDescent="0.7">
      <c r="A26" s="27">
        <v>20191109</v>
      </c>
      <c r="B26" s="27">
        <v>6</v>
      </c>
      <c r="C26" s="27">
        <v>2</v>
      </c>
      <c r="D26" s="27">
        <v>2019110962</v>
      </c>
      <c r="E26" s="27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7" customFormat="1" x14ac:dyDescent="0.7">
      <c r="A27" s="27">
        <v>20191109</v>
      </c>
      <c r="B27" s="27">
        <v>7</v>
      </c>
      <c r="C27" s="27">
        <v>1</v>
      </c>
      <c r="D27" s="27">
        <v>2019110971</v>
      </c>
      <c r="E27" s="27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7" customFormat="1" x14ac:dyDescent="0.7">
      <c r="A28" s="27">
        <v>20191109</v>
      </c>
      <c r="B28" s="27">
        <v>7</v>
      </c>
      <c r="C28" s="27">
        <v>2</v>
      </c>
      <c r="D28" s="27">
        <v>2019110972</v>
      </c>
      <c r="E28" s="27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7" customFormat="1" x14ac:dyDescent="0.7">
      <c r="A29" s="27">
        <v>20191110</v>
      </c>
      <c r="B29" s="27">
        <v>2</v>
      </c>
      <c r="C29" s="27">
        <v>1</v>
      </c>
      <c r="D29" s="27">
        <v>2019111021</v>
      </c>
      <c r="E29" s="27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7" customFormat="1" x14ac:dyDescent="0.7">
      <c r="A30" s="27">
        <v>20191110</v>
      </c>
      <c r="B30" s="27">
        <v>5</v>
      </c>
      <c r="C30" s="27">
        <v>2</v>
      </c>
      <c r="D30" s="27">
        <v>2019111052</v>
      </c>
      <c r="E30" s="27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7" customFormat="1" x14ac:dyDescent="0.7">
      <c r="A31" s="27">
        <v>20191111</v>
      </c>
      <c r="B31" s="27">
        <v>1</v>
      </c>
      <c r="C31" s="27">
        <v>2</v>
      </c>
      <c r="D31" s="27">
        <v>2019111112</v>
      </c>
      <c r="E31" s="27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7" customFormat="1" x14ac:dyDescent="0.7">
      <c r="A32" s="27">
        <v>20191111</v>
      </c>
      <c r="B32" s="27">
        <v>2</v>
      </c>
      <c r="C32" s="27">
        <v>1</v>
      </c>
      <c r="D32" s="27">
        <v>2019111121</v>
      </c>
      <c r="E32" s="27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7" customFormat="1" x14ac:dyDescent="0.7">
      <c r="A33" s="27">
        <v>20191111</v>
      </c>
      <c r="B33" s="27">
        <v>2</v>
      </c>
      <c r="C33" s="27">
        <v>4</v>
      </c>
      <c r="D33" s="27">
        <v>2019111124</v>
      </c>
      <c r="E33" s="27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7" customFormat="1" x14ac:dyDescent="0.7">
      <c r="A34" s="27">
        <v>20191111</v>
      </c>
      <c r="B34" s="27">
        <v>3</v>
      </c>
      <c r="C34" s="27">
        <v>3</v>
      </c>
      <c r="D34" s="27">
        <v>2019111133</v>
      </c>
      <c r="E34" s="27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7" customFormat="1" x14ac:dyDescent="0.7">
      <c r="A35" s="27">
        <v>20191111</v>
      </c>
      <c r="B35" s="27">
        <v>4</v>
      </c>
      <c r="C35" s="27">
        <v>3</v>
      </c>
      <c r="D35" s="27">
        <v>2019111143</v>
      </c>
      <c r="E35" s="27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7" customFormat="1" x14ac:dyDescent="0.7">
      <c r="A36" s="27">
        <v>20191111</v>
      </c>
      <c r="B36" s="27">
        <v>5</v>
      </c>
      <c r="C36" s="27">
        <v>3</v>
      </c>
      <c r="D36" s="27">
        <v>2019111153</v>
      </c>
      <c r="E36" s="27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7" customFormat="1" x14ac:dyDescent="0.7">
      <c r="A37" s="27">
        <v>20191111</v>
      </c>
      <c r="B37" s="27">
        <v>6</v>
      </c>
      <c r="C37" s="27">
        <v>3</v>
      </c>
      <c r="D37" s="27">
        <v>2019111163</v>
      </c>
      <c r="E37" s="27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7" customFormat="1" x14ac:dyDescent="0.7">
      <c r="A38" s="27">
        <v>20191111</v>
      </c>
      <c r="B38" s="27">
        <v>6</v>
      </c>
      <c r="C38" s="27">
        <v>4</v>
      </c>
      <c r="D38" s="27">
        <v>2019111164</v>
      </c>
      <c r="E38" s="27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7" customFormat="1" x14ac:dyDescent="0.7">
      <c r="A39" s="27">
        <v>20191111</v>
      </c>
      <c r="B39" s="27">
        <v>7</v>
      </c>
      <c r="C39" s="27">
        <v>3</v>
      </c>
      <c r="D39" s="27">
        <v>2019111173</v>
      </c>
      <c r="E39" s="27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91" spans="6:35" s="17" customFormat="1" x14ac:dyDescent="0.7"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</row>
    <row r="92" spans="6:35" s="17" customFormat="1" x14ac:dyDescent="0.7"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</row>
    <row r="93" spans="6:35" s="19" customFormat="1" x14ac:dyDescent="0.7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</row>
    <row r="94" spans="6:35" s="19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20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20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26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22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26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6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2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6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6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2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6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2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2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6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2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0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6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4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2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2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6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6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4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4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2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7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7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7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7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7" customFormat="1" x14ac:dyDescent="0.7"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7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7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7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7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7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7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7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7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7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7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7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7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7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7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7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7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7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7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7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7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7" spans="6:35" s="27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7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7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7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7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7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7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7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7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7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7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7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7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7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7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7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7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7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7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7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7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7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7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7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7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7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7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7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7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7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7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7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7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7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7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7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7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7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7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7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7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7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7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7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7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7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7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7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7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7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7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7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7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7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7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7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7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7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7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7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7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7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7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7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7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7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7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7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7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7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7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7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7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7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7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7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7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7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7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7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7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7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7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</sheetData>
  <sortState xmlns:xlrd2="http://schemas.microsoft.com/office/spreadsheetml/2017/richdata2" ref="A2:AA22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7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20191111</v>
      </c>
      <c r="B1">
        <v>20191111</v>
      </c>
    </row>
    <row r="2" spans="1:2" s="27" customFormat="1" x14ac:dyDescent="0.7">
      <c r="A2" s="27">
        <v>112599111</v>
      </c>
      <c r="B2" s="27">
        <v>1</v>
      </c>
    </row>
    <row r="3" spans="1:2" s="27" customFormat="1" x14ac:dyDescent="0.7">
      <c r="A3" s="27">
        <v>242599555</v>
      </c>
      <c r="B3" s="27">
        <v>1</v>
      </c>
    </row>
    <row r="4" spans="1:2" s="27" customFormat="1" x14ac:dyDescent="0.7">
      <c r="A4" s="27">
        <v>252599333</v>
      </c>
      <c r="B4" s="27">
        <v>1</v>
      </c>
    </row>
    <row r="5" spans="1:2" s="27" customFormat="1" x14ac:dyDescent="0.7">
      <c r="A5" s="27">
        <v>342599333</v>
      </c>
      <c r="B5" s="27">
        <v>1</v>
      </c>
    </row>
    <row r="6" spans="1:2" s="27" customFormat="1" x14ac:dyDescent="0.7">
      <c r="A6" s="27">
        <v>342599567</v>
      </c>
      <c r="B6" s="27">
        <v>2</v>
      </c>
    </row>
    <row r="7" spans="1:2" s="27" customFormat="1" x14ac:dyDescent="0.7">
      <c r="A7" s="27">
        <v>452599678</v>
      </c>
      <c r="B7" s="27">
        <v>3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7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8">
        <v>1</v>
      </c>
      <c r="I3" t="s">
        <v>29</v>
      </c>
      <c r="J3" s="8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8">
        <v>2</v>
      </c>
      <c r="I4" t="s">
        <v>31</v>
      </c>
      <c r="J4" s="8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8">
        <v>2</v>
      </c>
      <c r="I5" t="s">
        <v>33</v>
      </c>
      <c r="J5" s="8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8">
        <v>3</v>
      </c>
      <c r="I6" t="s">
        <v>32</v>
      </c>
      <c r="J6" s="8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8">
        <v>4</v>
      </c>
      <c r="I7" t="s">
        <v>34</v>
      </c>
      <c r="J7" s="8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8">
        <v>5</v>
      </c>
      <c r="I8" t="s">
        <v>35</v>
      </c>
      <c r="J8" s="8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8">
        <v>6</v>
      </c>
      <c r="I9" t="s">
        <v>36</v>
      </c>
      <c r="J9" s="8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8">
        <v>7</v>
      </c>
      <c r="I10" t="s">
        <v>37</v>
      </c>
      <c r="J10" s="8">
        <v>2018</v>
      </c>
    </row>
    <row r="11" spans="1:10" x14ac:dyDescent="0.7">
      <c r="B11">
        <v>9</v>
      </c>
      <c r="C11" t="s">
        <v>39</v>
      </c>
      <c r="D11">
        <v>2509</v>
      </c>
      <c r="E11" s="8">
        <v>9</v>
      </c>
      <c r="F11" t="s">
        <v>40</v>
      </c>
      <c r="G11" s="8">
        <v>2009</v>
      </c>
      <c r="H11" s="8">
        <v>8</v>
      </c>
      <c r="I11" t="s">
        <v>38</v>
      </c>
      <c r="J11" s="8">
        <v>2019</v>
      </c>
    </row>
    <row r="12" spans="1:10" x14ac:dyDescent="0.7">
      <c r="B12">
        <v>10</v>
      </c>
      <c r="C12" t="s">
        <v>40</v>
      </c>
      <c r="D12" s="8">
        <v>2510</v>
      </c>
      <c r="H12" s="9">
        <v>9</v>
      </c>
      <c r="I12" t="s">
        <v>40</v>
      </c>
      <c r="J12" s="9">
        <v>2020</v>
      </c>
    </row>
    <row r="13" spans="1:10" x14ac:dyDescent="0.7">
      <c r="B13">
        <v>11</v>
      </c>
      <c r="C13" t="s">
        <v>41</v>
      </c>
      <c r="D13" s="9">
        <v>2521</v>
      </c>
      <c r="E13" s="8">
        <v>51</v>
      </c>
      <c r="F13" s="8" t="s">
        <v>42</v>
      </c>
      <c r="G13" s="8">
        <v>2101</v>
      </c>
      <c r="H13" s="8">
        <v>51</v>
      </c>
      <c r="I13" t="s">
        <v>42</v>
      </c>
      <c r="J13" s="9">
        <v>2111</v>
      </c>
    </row>
    <row r="14" spans="1:10" x14ac:dyDescent="0.7">
      <c r="B14">
        <v>51</v>
      </c>
      <c r="C14" t="s">
        <v>43</v>
      </c>
      <c r="D14" s="9">
        <v>2511</v>
      </c>
      <c r="E14">
        <v>61</v>
      </c>
      <c r="F14" t="s">
        <v>44</v>
      </c>
      <c r="G14">
        <v>2201</v>
      </c>
      <c r="H14" s="9">
        <v>61</v>
      </c>
      <c r="I14" t="s">
        <v>44</v>
      </c>
      <c r="J14" s="9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9">
        <v>62</v>
      </c>
      <c r="I15" t="s">
        <v>46</v>
      </c>
      <c r="J15" s="9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8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0"/>
  <sheetViews>
    <sheetView workbookViewId="0">
      <selection activeCell="C25" sqref="C25"/>
    </sheetView>
  </sheetViews>
  <sheetFormatPr defaultRowHeight="17.649999999999999" x14ac:dyDescent="0.7"/>
  <cols>
    <col min="1" max="1" width="20.125" style="25" customWidth="1"/>
    <col min="2" max="2" width="17.5" style="25" customWidth="1"/>
    <col min="3" max="3" width="14.25" customWidth="1"/>
  </cols>
  <sheetData>
    <row r="1" spans="1:13" x14ac:dyDescent="0.7">
      <c r="A1" s="25" t="s">
        <v>61</v>
      </c>
      <c r="B1" s="25" t="s">
        <v>62</v>
      </c>
      <c r="C1" t="s">
        <v>63</v>
      </c>
    </row>
    <row r="2" spans="1:13" s="27" customFormat="1" x14ac:dyDescent="0.7">
      <c r="A2" s="25">
        <v>43730.833333333336</v>
      </c>
      <c r="B2" s="25">
        <v>43730.875</v>
      </c>
      <c r="C2" s="27">
        <v>4</v>
      </c>
    </row>
    <row r="3" spans="1:13" s="27" customFormat="1" x14ac:dyDescent="0.7">
      <c r="A3" s="25">
        <v>43730.875</v>
      </c>
      <c r="B3" s="25">
        <v>43730.958333333336</v>
      </c>
      <c r="C3" s="27">
        <v>7</v>
      </c>
    </row>
    <row r="4" spans="1:13" s="23" customFormat="1" x14ac:dyDescent="0.7">
      <c r="A4" s="25">
        <v>43731.583333333336</v>
      </c>
      <c r="B4" s="25">
        <v>43731.625</v>
      </c>
      <c r="C4" s="23">
        <v>13</v>
      </c>
    </row>
    <row r="5" spans="1:13" s="23" customFormat="1" x14ac:dyDescent="0.7">
      <c r="A5" s="25">
        <v>43732.5</v>
      </c>
      <c r="B5" s="25">
        <v>43732.583333333336</v>
      </c>
      <c r="C5" s="23">
        <v>5</v>
      </c>
    </row>
    <row r="6" spans="1:13" s="23" customFormat="1" x14ac:dyDescent="0.7">
      <c r="A6" s="25">
        <v>43732.541666666664</v>
      </c>
      <c r="B6" s="25">
        <v>43732.625</v>
      </c>
      <c r="C6" s="23">
        <v>2</v>
      </c>
    </row>
    <row r="7" spans="1:13" s="23" customFormat="1" x14ac:dyDescent="0.7">
      <c r="A7" s="25">
        <v>43732.625</v>
      </c>
      <c r="B7" s="25">
        <v>43732.666666666664</v>
      </c>
      <c r="C7" s="23">
        <v>10</v>
      </c>
    </row>
    <row r="8" spans="1:13" s="23" customFormat="1" x14ac:dyDescent="0.7">
      <c r="A8" s="25">
        <v>43732.625</v>
      </c>
      <c r="B8" s="25">
        <v>43732.666666666664</v>
      </c>
      <c r="C8" s="23">
        <v>6</v>
      </c>
    </row>
    <row r="9" spans="1:13" s="23" customFormat="1" x14ac:dyDescent="0.7">
      <c r="A9" s="25">
        <v>43733.541666666664</v>
      </c>
      <c r="B9" s="25">
        <v>43733.583333333336</v>
      </c>
      <c r="C9" s="23">
        <v>11</v>
      </c>
    </row>
    <row r="10" spans="1:13" s="23" customFormat="1" x14ac:dyDescent="0.7">
      <c r="A10" s="25">
        <v>43733.541666666664</v>
      </c>
      <c r="B10" s="25">
        <v>43733.583333333336</v>
      </c>
      <c r="C10" s="23">
        <v>1</v>
      </c>
    </row>
    <row r="11" spans="1:13" s="23" customFormat="1" x14ac:dyDescent="0.7">
      <c r="A11" s="25">
        <v>43733.583333333336</v>
      </c>
      <c r="B11" s="25">
        <v>43733.625</v>
      </c>
      <c r="C11" s="23">
        <v>7</v>
      </c>
    </row>
    <row r="12" spans="1:13" s="23" customFormat="1" x14ac:dyDescent="0.7">
      <c r="A12" s="25">
        <v>43733.625</v>
      </c>
      <c r="B12" s="25">
        <v>43733.666666666664</v>
      </c>
      <c r="C12" s="23">
        <v>9</v>
      </c>
    </row>
    <row r="13" spans="1:13" s="23" customFormat="1" x14ac:dyDescent="0.7">
      <c r="A13" s="25">
        <v>43734.541666666664</v>
      </c>
      <c r="B13" s="25">
        <v>43734.583333333336</v>
      </c>
      <c r="C13" s="23">
        <v>2</v>
      </c>
    </row>
    <row r="14" spans="1:13" s="23" customFormat="1" x14ac:dyDescent="0.7">
      <c r="A14" s="25">
        <v>43734.5</v>
      </c>
      <c r="B14" s="25">
        <v>43734.583333333336</v>
      </c>
      <c r="C14" s="23">
        <v>1</v>
      </c>
    </row>
    <row r="15" spans="1:13" s="23" customFormat="1" x14ac:dyDescent="0.7">
      <c r="A15" s="25">
        <v>43734.583333333336</v>
      </c>
      <c r="B15" s="25">
        <v>43734.666666666664</v>
      </c>
      <c r="C15" s="23">
        <v>3</v>
      </c>
      <c r="L15" s="25"/>
      <c r="M15" s="25"/>
    </row>
    <row r="16" spans="1:13" s="23" customFormat="1" x14ac:dyDescent="0.7">
      <c r="A16" s="25">
        <v>43735.541666666664</v>
      </c>
      <c r="B16" s="25">
        <v>43735.583333333336</v>
      </c>
      <c r="C16" s="23">
        <v>8</v>
      </c>
      <c r="L16" s="25"/>
      <c r="M16" s="25"/>
    </row>
    <row r="17" spans="1:13" s="23" customFormat="1" x14ac:dyDescent="0.7">
      <c r="A17" s="25">
        <v>43735.541666666664</v>
      </c>
      <c r="B17" s="25">
        <v>43735.583333333336</v>
      </c>
      <c r="C17" s="23">
        <v>10</v>
      </c>
      <c r="L17" s="25"/>
      <c r="M17" s="25"/>
    </row>
    <row r="18" spans="1:13" s="23" customFormat="1" x14ac:dyDescent="0.7">
      <c r="A18" s="25">
        <v>43735.583333333336</v>
      </c>
      <c r="B18" s="25">
        <v>43735.625</v>
      </c>
      <c r="C18" s="23">
        <v>13</v>
      </c>
    </row>
    <row r="19" spans="1:13" s="23" customFormat="1" x14ac:dyDescent="0.7">
      <c r="A19" s="25">
        <v>43735.583333333336</v>
      </c>
      <c r="B19" s="25">
        <v>43735.666666666664</v>
      </c>
      <c r="C19" s="23">
        <v>4</v>
      </c>
    </row>
    <row r="20" spans="1:13" s="23" customFormat="1" x14ac:dyDescent="0.7">
      <c r="A20" s="25">
        <v>43768</v>
      </c>
      <c r="B20" s="25">
        <v>43768.208333333336</v>
      </c>
      <c r="C20" s="23">
        <v>3</v>
      </c>
    </row>
    <row r="21" spans="1:13" s="23" customFormat="1" x14ac:dyDescent="0.7">
      <c r="A21" s="25">
        <v>43778</v>
      </c>
      <c r="B21" s="25">
        <v>43778.833333333336</v>
      </c>
      <c r="C21" s="23">
        <v>0</v>
      </c>
    </row>
    <row r="22" spans="1:13" s="23" customFormat="1" x14ac:dyDescent="0.7">
      <c r="A22" s="25">
        <v>43778</v>
      </c>
      <c r="B22" s="25">
        <v>43778.833333333336</v>
      </c>
      <c r="C22" s="23">
        <v>0</v>
      </c>
    </row>
    <row r="23" spans="1:13" s="23" customFormat="1" x14ac:dyDescent="0.7">
      <c r="A23" s="25"/>
      <c r="B23" s="25"/>
      <c r="C23" s="27"/>
    </row>
    <row r="24" spans="1:13" s="23" customFormat="1" x14ac:dyDescent="0.7">
      <c r="A24" s="25"/>
      <c r="B24" s="25"/>
      <c r="C24" s="27"/>
    </row>
    <row r="25" spans="1:13" s="23" customFormat="1" x14ac:dyDescent="0.7">
      <c r="A25" s="25"/>
      <c r="B25" s="25"/>
    </row>
    <row r="26" spans="1:13" s="23" customFormat="1" x14ac:dyDescent="0.7">
      <c r="A26" s="25"/>
      <c r="B26" s="25"/>
    </row>
    <row r="27" spans="1:13" s="23" customFormat="1" x14ac:dyDescent="0.7">
      <c r="A27" s="25"/>
      <c r="B27" s="25"/>
    </row>
    <row r="28" spans="1:13" s="23" customFormat="1" x14ac:dyDescent="0.7">
      <c r="A28" s="25"/>
      <c r="B28" s="25"/>
    </row>
    <row r="29" spans="1:13" s="23" customFormat="1" x14ac:dyDescent="0.7">
      <c r="A29" s="25"/>
      <c r="B29" s="25"/>
    </row>
    <row r="30" spans="1:13" s="23" customFormat="1" x14ac:dyDescent="0.7">
      <c r="A30" s="25"/>
      <c r="B30" s="25"/>
    </row>
    <row r="31" spans="1:13" s="23" customFormat="1" x14ac:dyDescent="0.7">
      <c r="A31" s="25"/>
      <c r="B31" s="25"/>
    </row>
    <row r="32" spans="1:13" s="23" customFormat="1" x14ac:dyDescent="0.7">
      <c r="A32" s="25"/>
      <c r="B32" s="25"/>
    </row>
    <row r="33" spans="1:2" s="23" customFormat="1" x14ac:dyDescent="0.7">
      <c r="A33" s="25"/>
      <c r="B33" s="25"/>
    </row>
    <row r="34" spans="1:2" s="23" customFormat="1" x14ac:dyDescent="0.7">
      <c r="A34" s="25"/>
      <c r="B34" s="25"/>
    </row>
    <row r="35" spans="1:2" s="23" customFormat="1" x14ac:dyDescent="0.7">
      <c r="A35" s="25"/>
      <c r="B35" s="25"/>
    </row>
    <row r="36" spans="1:2" s="23" customFormat="1" x14ac:dyDescent="0.7">
      <c r="A36" s="25"/>
      <c r="B36" s="25"/>
    </row>
    <row r="37" spans="1:2" s="23" customFormat="1" x14ac:dyDescent="0.7">
      <c r="A37" s="25"/>
      <c r="B37" s="25"/>
    </row>
    <row r="38" spans="1:2" s="23" customFormat="1" x14ac:dyDescent="0.7">
      <c r="A38" s="25"/>
      <c r="B38" s="25"/>
    </row>
    <row r="39" spans="1:2" s="23" customFormat="1" x14ac:dyDescent="0.7">
      <c r="A39" s="25"/>
      <c r="B39" s="25"/>
    </row>
    <row r="40" spans="1:2" s="23" customFormat="1" x14ac:dyDescent="0.7">
      <c r="A40" s="25"/>
      <c r="B40" s="25"/>
    </row>
    <row r="41" spans="1:2" s="23" customFormat="1" x14ac:dyDescent="0.7">
      <c r="A41" s="25"/>
      <c r="B41" s="25"/>
    </row>
    <row r="42" spans="1:2" s="23" customFormat="1" x14ac:dyDescent="0.7">
      <c r="A42" s="25"/>
      <c r="B42" s="25"/>
    </row>
    <row r="43" spans="1:2" s="23" customFormat="1" x14ac:dyDescent="0.7">
      <c r="A43" s="25"/>
      <c r="B43" s="25"/>
    </row>
    <row r="44" spans="1:2" s="23" customFormat="1" x14ac:dyDescent="0.7">
      <c r="A44" s="25"/>
      <c r="B44" s="25"/>
    </row>
    <row r="45" spans="1:2" s="23" customFormat="1" x14ac:dyDescent="0.7">
      <c r="A45" s="25"/>
      <c r="B45" s="25"/>
    </row>
    <row r="46" spans="1:2" s="23" customFormat="1" x14ac:dyDescent="0.7">
      <c r="A46" s="25"/>
      <c r="B46" s="25"/>
    </row>
    <row r="47" spans="1:2" s="23" customFormat="1" x14ac:dyDescent="0.7">
      <c r="A47" s="25"/>
      <c r="B47" s="25"/>
    </row>
    <row r="48" spans="1:2" s="23" customFormat="1" x14ac:dyDescent="0.7">
      <c r="A48" s="25"/>
      <c r="B48" s="25"/>
    </row>
    <row r="49" spans="1:4" x14ac:dyDescent="0.7">
      <c r="A49" s="5"/>
      <c r="C49" s="3"/>
      <c r="D49" s="3"/>
    </row>
    <row r="50" spans="1:4" s="23" customFormat="1" x14ac:dyDescent="0.7">
      <c r="A50" s="5"/>
      <c r="B50" s="25"/>
      <c r="C50" s="3"/>
      <c r="D50" s="3"/>
    </row>
    <row r="51" spans="1:4" s="23" customFormat="1" x14ac:dyDescent="0.7">
      <c r="A51" s="5"/>
      <c r="B51" s="25"/>
      <c r="C51" s="3"/>
      <c r="D51" s="3"/>
    </row>
    <row r="52" spans="1:4" s="23" customFormat="1" x14ac:dyDescent="0.7">
      <c r="A52" s="5"/>
      <c r="B52" s="25"/>
      <c r="C52" s="3"/>
      <c r="D52" s="3"/>
    </row>
    <row r="53" spans="1:4" s="23" customFormat="1" x14ac:dyDescent="0.7">
      <c r="A53" s="5"/>
      <c r="B53" s="25"/>
      <c r="C53" s="3"/>
      <c r="D53" s="3"/>
    </row>
    <row r="54" spans="1:4" s="23" customFormat="1" x14ac:dyDescent="0.7">
      <c r="A54" s="5"/>
      <c r="B54" s="25"/>
      <c r="C54" s="3"/>
      <c r="D54" s="3"/>
    </row>
    <row r="55" spans="1:4" s="23" customFormat="1" x14ac:dyDescent="0.7">
      <c r="A55" s="5"/>
      <c r="B55" s="25"/>
      <c r="C55" s="3"/>
      <c r="D55" s="3"/>
    </row>
    <row r="56" spans="1:4" s="23" customFormat="1" x14ac:dyDescent="0.7">
      <c r="A56" s="5"/>
      <c r="B56" s="25"/>
      <c r="C56" s="3"/>
      <c r="D56" s="3"/>
    </row>
    <row r="57" spans="1:4" s="23" customFormat="1" x14ac:dyDescent="0.7">
      <c r="A57" s="5"/>
      <c r="B57" s="25"/>
      <c r="C57" s="3"/>
      <c r="D57" s="3"/>
    </row>
    <row r="58" spans="1:4" s="23" customFormat="1" x14ac:dyDescent="0.7">
      <c r="A58" s="5"/>
      <c r="B58" s="25"/>
      <c r="C58" s="3"/>
      <c r="D58" s="3"/>
    </row>
    <row r="59" spans="1:4" s="23" customFormat="1" x14ac:dyDescent="0.7">
      <c r="A59" s="5"/>
      <c r="B59" s="25"/>
      <c r="C59" s="3"/>
      <c r="D59" s="3"/>
    </row>
    <row r="60" spans="1:4" s="23" customFormat="1" x14ac:dyDescent="0.7">
      <c r="A60" s="5"/>
      <c r="B60" s="25"/>
      <c r="C60" s="3"/>
      <c r="D60" s="3"/>
    </row>
    <row r="61" spans="1:4" s="23" customFormat="1" x14ac:dyDescent="0.7">
      <c r="A61" s="5"/>
      <c r="B61" s="25"/>
      <c r="C61" s="3"/>
      <c r="D61" s="3"/>
    </row>
    <row r="62" spans="1:4" s="23" customFormat="1" x14ac:dyDescent="0.7">
      <c r="A62" s="5"/>
      <c r="B62" s="25"/>
      <c r="C62" s="3"/>
      <c r="D62" s="3"/>
    </row>
    <row r="63" spans="1:4" s="23" customFormat="1" x14ac:dyDescent="0.7">
      <c r="A63" s="5"/>
      <c r="B63" s="25"/>
      <c r="C63" s="3"/>
      <c r="D63" s="3"/>
    </row>
    <row r="64" spans="1:4" s="23" customFormat="1" x14ac:dyDescent="0.7">
      <c r="A64" s="5"/>
      <c r="B64" s="25"/>
      <c r="C64" s="3"/>
      <c r="D64" s="3"/>
    </row>
    <row r="65" spans="1:4" s="23" customFormat="1" x14ac:dyDescent="0.7">
      <c r="A65" s="5"/>
      <c r="B65" s="25"/>
      <c r="C65" s="3"/>
      <c r="D65" s="3"/>
    </row>
    <row r="66" spans="1:4" s="23" customFormat="1" x14ac:dyDescent="0.7">
      <c r="A66" s="5"/>
      <c r="B66" s="25"/>
      <c r="C66" s="3"/>
      <c r="D66" s="3"/>
    </row>
    <row r="67" spans="1:4" s="23" customFormat="1" x14ac:dyDescent="0.7">
      <c r="A67" s="5"/>
      <c r="B67" s="25"/>
      <c r="C67" s="3"/>
      <c r="D67" s="3"/>
    </row>
    <row r="68" spans="1:4" x14ac:dyDescent="0.7">
      <c r="A68" s="5"/>
      <c r="C68" s="3"/>
      <c r="D68" s="3"/>
    </row>
    <row r="69" spans="1:4" x14ac:dyDescent="0.7">
      <c r="A69" s="5"/>
      <c r="C69" s="3"/>
      <c r="D69" s="3"/>
    </row>
    <row r="70" spans="1:4" x14ac:dyDescent="0.7">
      <c r="A70" s="5"/>
      <c r="C70" s="3"/>
      <c r="D70" s="3"/>
    </row>
    <row r="71" spans="1:4" x14ac:dyDescent="0.7">
      <c r="A71" s="5"/>
      <c r="C71" s="3"/>
      <c r="D71" s="3"/>
    </row>
    <row r="72" spans="1:4" x14ac:dyDescent="0.7">
      <c r="A72" s="5"/>
      <c r="C72" s="3"/>
      <c r="D72" s="3"/>
    </row>
    <row r="73" spans="1:4" s="23" customFormat="1" x14ac:dyDescent="0.7">
      <c r="A73" s="5"/>
      <c r="B73" s="25"/>
      <c r="C73" s="3"/>
      <c r="D73" s="3"/>
    </row>
    <row r="74" spans="1:4" s="23" customFormat="1" x14ac:dyDescent="0.7">
      <c r="A74" s="5"/>
      <c r="B74" s="25"/>
      <c r="C74" s="3"/>
      <c r="D74" s="3"/>
    </row>
    <row r="75" spans="1:4" s="23" customFormat="1" x14ac:dyDescent="0.7">
      <c r="A75" s="5"/>
      <c r="B75" s="25"/>
      <c r="C75" s="3"/>
      <c r="D75" s="3"/>
    </row>
    <row r="76" spans="1:4" s="23" customFormat="1" x14ac:dyDescent="0.7">
      <c r="A76" s="5"/>
      <c r="B76" s="25"/>
      <c r="C76" s="3"/>
      <c r="D76" s="3"/>
    </row>
    <row r="77" spans="1:4" s="23" customFormat="1" x14ac:dyDescent="0.7">
      <c r="A77" s="5"/>
      <c r="B77" s="25"/>
      <c r="C77" s="3"/>
      <c r="D77" s="3"/>
    </row>
    <row r="78" spans="1:4" s="23" customFormat="1" x14ac:dyDescent="0.7">
      <c r="A78" s="5"/>
      <c r="B78" s="25"/>
      <c r="C78" s="3"/>
      <c r="D78" s="3"/>
    </row>
    <row r="79" spans="1:4" s="23" customFormat="1" x14ac:dyDescent="0.7">
      <c r="A79" s="5"/>
      <c r="B79" s="25"/>
      <c r="C79" s="3"/>
      <c r="D79" s="3"/>
    </row>
    <row r="80" spans="1:4" s="23" customFormat="1" x14ac:dyDescent="0.7">
      <c r="A80" s="5"/>
      <c r="B80" s="25"/>
      <c r="C80" s="3"/>
      <c r="D80" s="3"/>
    </row>
    <row r="81" spans="1:4" s="23" customFormat="1" x14ac:dyDescent="0.7">
      <c r="A81" s="5"/>
      <c r="B81" s="25"/>
      <c r="C81" s="3"/>
      <c r="D81" s="3"/>
    </row>
    <row r="82" spans="1:4" s="23" customFormat="1" x14ac:dyDescent="0.7">
      <c r="A82" s="5"/>
      <c r="B82" s="25"/>
      <c r="C82" s="3"/>
      <c r="D82" s="3"/>
    </row>
    <row r="83" spans="1:4" s="23" customFormat="1" x14ac:dyDescent="0.7">
      <c r="A83" s="5"/>
      <c r="B83" s="25"/>
      <c r="C83" s="3"/>
      <c r="D83" s="3"/>
    </row>
    <row r="84" spans="1:4" s="23" customFormat="1" x14ac:dyDescent="0.7">
      <c r="A84" s="5"/>
      <c r="B84" s="25"/>
      <c r="C84" s="3"/>
      <c r="D84" s="3"/>
    </row>
    <row r="85" spans="1:4" s="23" customFormat="1" x14ac:dyDescent="0.7">
      <c r="A85" s="25"/>
      <c r="B85" s="25"/>
      <c r="C85" s="3"/>
    </row>
    <row r="86" spans="1:4" s="23" customFormat="1" x14ac:dyDescent="0.7">
      <c r="A86" s="25"/>
      <c r="B86" s="25"/>
      <c r="C86" s="3"/>
    </row>
    <row r="87" spans="1:4" s="23" customFormat="1" x14ac:dyDescent="0.7">
      <c r="A87" s="25"/>
      <c r="B87" s="25"/>
      <c r="C87" s="3"/>
    </row>
    <row r="88" spans="1:4" s="23" customFormat="1" x14ac:dyDescent="0.7">
      <c r="A88" s="25"/>
      <c r="B88" s="25"/>
      <c r="C88" s="3"/>
    </row>
    <row r="89" spans="1:4" s="23" customFormat="1" x14ac:dyDescent="0.7">
      <c r="A89" s="25"/>
      <c r="B89" s="25"/>
      <c r="C89" s="3"/>
    </row>
    <row r="90" spans="1:4" s="23" customFormat="1" x14ac:dyDescent="0.7">
      <c r="A90" s="25"/>
      <c r="B90" s="25"/>
      <c r="C90" s="3"/>
    </row>
    <row r="91" spans="1:4" s="23" customFormat="1" x14ac:dyDescent="0.7">
      <c r="A91" s="25"/>
      <c r="B91" s="25"/>
      <c r="C91"/>
    </row>
    <row r="92" spans="1:4" s="23" customFormat="1" x14ac:dyDescent="0.7">
      <c r="A92" s="25"/>
      <c r="B92" s="25"/>
      <c r="C92"/>
    </row>
    <row r="93" spans="1:4" s="23" customFormat="1" x14ac:dyDescent="0.7">
      <c r="A93" s="25"/>
      <c r="B93" s="25"/>
      <c r="C93"/>
    </row>
    <row r="94" spans="1:4" s="23" customFormat="1" x14ac:dyDescent="0.7">
      <c r="A94" s="25"/>
      <c r="B94" s="25"/>
      <c r="C94"/>
    </row>
    <row r="95" spans="1:4" s="23" customFormat="1" x14ac:dyDescent="0.7">
      <c r="A95" s="25"/>
      <c r="B95" s="25"/>
      <c r="C95"/>
    </row>
    <row r="96" spans="1:4" s="23" customFormat="1" x14ac:dyDescent="0.7">
      <c r="A96" s="25"/>
      <c r="B96" s="25"/>
      <c r="C96"/>
    </row>
    <row r="97" spans="1:3" s="23" customFormat="1" x14ac:dyDescent="0.7">
      <c r="A97" s="25"/>
      <c r="B97" s="25"/>
      <c r="C97"/>
    </row>
    <row r="98" spans="1:3" s="23" customFormat="1" x14ac:dyDescent="0.7">
      <c r="A98" s="25"/>
      <c r="B98" s="25"/>
      <c r="C98"/>
    </row>
    <row r="99" spans="1:3" s="23" customFormat="1" x14ac:dyDescent="0.7">
      <c r="A99" s="25"/>
      <c r="B99" s="25"/>
      <c r="C99"/>
    </row>
    <row r="100" spans="1:3" s="23" customFormat="1" x14ac:dyDescent="0.7">
      <c r="A100" s="25"/>
      <c r="B100" s="25"/>
      <c r="C100"/>
    </row>
    <row r="101" spans="1:3" s="23" customFormat="1" x14ac:dyDescent="0.7">
      <c r="A101" s="25"/>
      <c r="B101" s="25"/>
      <c r="C101"/>
    </row>
    <row r="102" spans="1:3" s="23" customFormat="1" x14ac:dyDescent="0.7">
      <c r="A102" s="25"/>
      <c r="B102" s="25"/>
      <c r="C102"/>
    </row>
    <row r="103" spans="1:3" s="23" customFormat="1" x14ac:dyDescent="0.7">
      <c r="A103" s="25"/>
      <c r="B103" s="25"/>
      <c r="C103"/>
    </row>
    <row r="104" spans="1:3" s="23" customFormat="1" x14ac:dyDescent="0.7">
      <c r="A104" s="25"/>
      <c r="B104" s="25"/>
      <c r="C104"/>
    </row>
    <row r="105" spans="1:3" s="23" customFormat="1" x14ac:dyDescent="0.7">
      <c r="A105" s="25"/>
      <c r="B105" s="25"/>
      <c r="C105"/>
    </row>
    <row r="106" spans="1:3" s="23" customFormat="1" x14ac:dyDescent="0.7">
      <c r="A106" s="25"/>
      <c r="B106" s="25"/>
      <c r="C106"/>
    </row>
    <row r="107" spans="1:3" s="23" customFormat="1" x14ac:dyDescent="0.7">
      <c r="A107" s="25"/>
      <c r="B107" s="25"/>
      <c r="C107"/>
    </row>
    <row r="108" spans="1:3" s="23" customFormat="1" x14ac:dyDescent="0.7">
      <c r="A108" s="25"/>
      <c r="B108" s="25"/>
      <c r="C108"/>
    </row>
    <row r="109" spans="1:3" s="23" customFormat="1" x14ac:dyDescent="0.7">
      <c r="A109" s="25"/>
      <c r="B109" s="25"/>
      <c r="C109"/>
    </row>
    <row r="110" spans="1:3" s="23" customFormat="1" x14ac:dyDescent="0.7">
      <c r="A110" s="25"/>
      <c r="B110" s="25"/>
      <c r="C110"/>
    </row>
    <row r="111" spans="1:3" s="23" customFormat="1" x14ac:dyDescent="0.7">
      <c r="A111" s="25"/>
      <c r="B111" s="25"/>
      <c r="C111"/>
    </row>
    <row r="112" spans="1:3" s="23" customFormat="1" x14ac:dyDescent="0.7">
      <c r="A112" s="25"/>
      <c r="B112" s="25"/>
      <c r="C112"/>
    </row>
    <row r="113" spans="1:3" s="23" customFormat="1" x14ac:dyDescent="0.7">
      <c r="A113" s="25"/>
      <c r="B113" s="25"/>
      <c r="C113"/>
    </row>
    <row r="114" spans="1:3" s="23" customFormat="1" x14ac:dyDescent="0.7">
      <c r="A114" s="25"/>
      <c r="B114" s="25"/>
      <c r="C114"/>
    </row>
    <row r="115" spans="1:3" s="23" customFormat="1" x14ac:dyDescent="0.7">
      <c r="A115" s="25"/>
      <c r="B115" s="25"/>
      <c r="C115"/>
    </row>
    <row r="116" spans="1:3" s="23" customFormat="1" x14ac:dyDescent="0.7">
      <c r="A116" s="25"/>
      <c r="B116" s="25"/>
      <c r="C116"/>
    </row>
    <row r="117" spans="1:3" s="23" customFormat="1" x14ac:dyDescent="0.7">
      <c r="A117" s="25"/>
      <c r="B117" s="25"/>
      <c r="C117"/>
    </row>
    <row r="118" spans="1:3" s="23" customFormat="1" x14ac:dyDescent="0.7">
      <c r="A118" s="25"/>
      <c r="B118" s="25"/>
      <c r="C118"/>
    </row>
    <row r="119" spans="1:3" s="23" customFormat="1" x14ac:dyDescent="0.7">
      <c r="A119" s="25"/>
      <c r="B119" s="25"/>
      <c r="C119"/>
    </row>
    <row r="120" spans="1:3" s="23" customFormat="1" x14ac:dyDescent="0.7">
      <c r="A120" s="25"/>
      <c r="B120" s="25"/>
      <c r="C120"/>
    </row>
    <row r="121" spans="1:3" s="23" customFormat="1" x14ac:dyDescent="0.7">
      <c r="A121" s="25"/>
      <c r="B121" s="25"/>
      <c r="C121"/>
    </row>
    <row r="122" spans="1:3" s="23" customFormat="1" x14ac:dyDescent="0.7">
      <c r="A122" s="25"/>
      <c r="B122" s="25"/>
      <c r="C122"/>
    </row>
    <row r="123" spans="1:3" s="23" customFormat="1" x14ac:dyDescent="0.7">
      <c r="A123" s="25"/>
      <c r="B123" s="25"/>
      <c r="C123"/>
    </row>
    <row r="124" spans="1:3" s="23" customFormat="1" x14ac:dyDescent="0.7">
      <c r="A124" s="25"/>
      <c r="B124" s="25"/>
      <c r="C124"/>
    </row>
    <row r="125" spans="1:3" s="23" customFormat="1" x14ac:dyDescent="0.7">
      <c r="A125" s="25"/>
      <c r="B125" s="25"/>
      <c r="C125"/>
    </row>
    <row r="126" spans="1:3" s="23" customFormat="1" x14ac:dyDescent="0.7">
      <c r="A126" s="25"/>
      <c r="B126" s="25"/>
      <c r="C126"/>
    </row>
    <row r="127" spans="1:3" s="23" customFormat="1" x14ac:dyDescent="0.7">
      <c r="A127" s="25"/>
      <c r="B127" s="25"/>
      <c r="C127"/>
    </row>
    <row r="128" spans="1:3" s="23" customFormat="1" x14ac:dyDescent="0.7">
      <c r="A128" s="25"/>
      <c r="B128" s="25"/>
      <c r="C128"/>
    </row>
    <row r="129" spans="1:3" s="23" customFormat="1" x14ac:dyDescent="0.7">
      <c r="A129" s="25"/>
      <c r="B129" s="25"/>
      <c r="C129"/>
    </row>
    <row r="130" spans="1:3" s="23" customFormat="1" x14ac:dyDescent="0.7">
      <c r="A130" s="25"/>
      <c r="B130" s="25"/>
      <c r="C130"/>
    </row>
    <row r="131" spans="1:3" s="23" customFormat="1" x14ac:dyDescent="0.7">
      <c r="A131" s="25"/>
      <c r="B131" s="25"/>
      <c r="C131"/>
    </row>
    <row r="132" spans="1:3" s="23" customFormat="1" x14ac:dyDescent="0.7">
      <c r="A132" s="25"/>
      <c r="B132" s="25"/>
      <c r="C132"/>
    </row>
    <row r="133" spans="1:3" s="23" customFormat="1" x14ac:dyDescent="0.7">
      <c r="A133" s="25"/>
      <c r="B133" s="25"/>
      <c r="C133"/>
    </row>
    <row r="134" spans="1:3" s="23" customFormat="1" x14ac:dyDescent="0.7">
      <c r="A134" s="25"/>
      <c r="B134" s="25"/>
      <c r="C134"/>
    </row>
    <row r="135" spans="1:3" s="23" customFormat="1" x14ac:dyDescent="0.7">
      <c r="A135" s="25"/>
      <c r="B135" s="25"/>
      <c r="C135"/>
    </row>
    <row r="136" spans="1:3" s="23" customFormat="1" x14ac:dyDescent="0.7">
      <c r="A136" s="25"/>
      <c r="B136" s="25"/>
      <c r="C136"/>
    </row>
    <row r="137" spans="1:3" s="23" customFormat="1" x14ac:dyDescent="0.7">
      <c r="A137" s="25"/>
      <c r="B137" s="25"/>
      <c r="C137"/>
    </row>
    <row r="138" spans="1:3" s="23" customFormat="1" x14ac:dyDescent="0.7">
      <c r="A138" s="25"/>
      <c r="B138" s="25"/>
      <c r="C138"/>
    </row>
    <row r="139" spans="1:3" s="23" customFormat="1" x14ac:dyDescent="0.7">
      <c r="A139" s="25"/>
      <c r="B139" s="25"/>
      <c r="C139"/>
    </row>
    <row r="140" spans="1:3" s="23" customFormat="1" x14ac:dyDescent="0.7">
      <c r="A140" s="25"/>
      <c r="B140" s="25"/>
      <c r="C140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2019-11-11T08:05:48Z</dcterms:modified>
</cp:coreProperties>
</file>