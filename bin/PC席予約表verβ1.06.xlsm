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5CCA6825-2E24-49D2-A59B-1109410D7FC3}" xr6:coauthVersionLast="41" xr6:coauthVersionMax="44" xr10:uidLastSave="{00000000-0000-0000-0000-000000000000}"/>
  <workbookProtection lockStructure="1"/>
  <bookViews>
    <workbookView xWindow="-98" yWindow="-98" windowWidth="24196" windowHeight="1309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<sst xmlns="http://schemas.openxmlformats.org/spreadsheetml/2006/main" count="287" uniqueCount="211">
  <si>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</si>
  <si>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</si>
  <si>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</si>
  <si>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</si>
  <si>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</si>
  <si>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</si>
  <si>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</si>
  <si>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</si>
  <si>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</si>
  <si>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</si>
  <si>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</si>
  <si>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</si>
  <si>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</si>
  <si>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</si>
  <si>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</si>
  <si>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</si>
  <si>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</si>
  <si>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</si>
  <si>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</si>
  <si>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</si>
  <si>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</si>
  <si>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</si>
  <si>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</si>
  <si>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</si>
  <si>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</si>
  <si>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</si>
  <si>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</si>
  <si>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</si>
  <si>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</si>
  <si>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</si>
  <si>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</si>
  <si>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</si>
  <si>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</si>
  <si>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</si>
  <si>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</si>
  <si>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</si>
  <si>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</si>
  <si>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</si>
  <si>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</si>
  <si>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</si>
  <si>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</si>
  <si>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</si>
  <si>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</si>
  <si>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</si>
  <si>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</si>
  <si>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</si>
  <si>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</si>
  <si>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</si>
  <si>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</si>
  <si>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</si>
  <si>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</si>
  <si>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</si>
  <si>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</si>
  <si>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</si>
  <si>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</si>
  <si>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</si>
  <si>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</si>
  <si>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</si>
  <si>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</si>
  <si>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</si>
  <si>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</si>
  <si>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</si>
  <si>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</si>
  <si>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</si>
  <si>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</si>
  <si>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</si>
  <si>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</si>
  <si>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</si>
  <si>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</si>
  <si>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</si>
  <si>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</si>
  <si>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</si>
  <si>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</si>
  <si>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</si>
  <si>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</si>
  <si>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</si>
  <si>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</si>
  <si>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</si>
  <si>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</si>
  <si>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</si>
  <si>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</si>
  <si>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</si>
  <si>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</si>
  <si>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</si>
  <si>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</si>
  <si>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</si>
  <si>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</si>
  <si>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</si>
  <si>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</si>
  <si>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</si>
  <si>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</si>
  <si>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</si>
  <si>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</si>
  <si>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</si>
  <si>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</si>
  <si>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</si>
  <si>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</si>
  <si>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</si>
  <si>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</si>
  <si>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</si>
  <si>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</si>
  <si>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</si>
  <si>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</si>
  <si>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</si>
  <si>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</si>
  <si>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</si>
  <si>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</si>
  <si>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</si>
  <si>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</si>
  <si>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</si>
  <si>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</si>
  <si>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</si>
  <si>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</si>
  <si>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</si>
  <si>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</si>
  <si>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</si>
  <si>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</si>
  <si>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</si>
  <si>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</si>
  <si>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</si>
  <si>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</si>
  <si>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</si>
  <si>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</si>
  <si>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</si>
  <si>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</si>
  <si>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</si>
  <si>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</si>
  <si>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</si>
  <si>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</si>
  <si>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</si>
  <si>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</si>
  <si>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</si>
  <si>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</si>
  <si>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</si>
  <si>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</si>
  <si>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</si>
  <si>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</si>
  <si>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</si>
  <si>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</si>
  <si>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</si>
  <si>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</si>
  <si>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</si>
  <si>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</si>
  <si>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</si>
  <si>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</si>
  <si>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</si>
  <si>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</si>
  <si>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</si>
  <si>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</si>
  <si>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</si>
  <si>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</si>
  <si>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</si>
  <si>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</si>
  <si>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</si>
  <si>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
  </si>
  <si>
    <t>M2</t>
    <phoneticPr fontId="1"/>
  </si>
  <si>
    <t>教育</t>
    <rPh sb="0" eb="2">
      <t>キョウイク</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</si>
  <si>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</si>
  <si>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</si>
  <si>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</si>
  <si>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</si>
  <si>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</si>
  <si>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C:\Users\haradayuii\Pictures\thVUQRHTTM.jpg</t>
  </si>
  <si>
    <t>C:\Users\haradayuii\Pictures\IMG_5303.jpg</t>
  </si>
  <si>
    <t>C:\Users\haradayuii\Pictures\maru2015010702-600x315.jpg</t>
  </si>
  <si>
    <t>on</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</si>
  <si>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</si>
  <si>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</si>
  <si>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</si>
  <si>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</si>
  <si>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空白のコマをタッチかクリックをすることで予約フォームが表示されます</t>
    <rPh sb="0" eb="2">
      <t>クウハク</t>
    </rPh>
    <rPh sb="20" eb="22">
      <t>ヨヤク</t>
    </rPh>
    <rPh sb="27" eb="29">
      <t>ヒョウジ</t>
    </rPh>
    <phoneticPr fontId="1"/>
  </si>
  <si>
    <t>１日に予約できるコマ数は２コマまでです（現状）</t>
    <rPh sb="1" eb="2">
      <t>ニチ</t>
    </rPh>
    <rPh sb="3" eb="5">
      <t>ヨヤク</t>
    </rPh>
    <rPh sb="10" eb="11">
      <t>スウ</t>
    </rPh>
    <rPh sb="20" eb="22">
      <t>ゲンジョウ</t>
    </rPh>
    <phoneticPr fontId="1"/>
  </si>
  <si>
    <t>中文学科</t>
    <rPh sb="0" eb="2">
      <t>チュウブン</t>
    </rPh>
    <rPh sb="2" eb="4">
      <t>ガッカ</t>
    </rPh>
    <phoneticPr fontId="1"/>
  </si>
  <si>
    <t>おさかべさん</t>
    <phoneticPr fontId="1"/>
  </si>
  <si>
    <t>史学科</t>
    <rPh sb="0" eb="3">
      <t>シガクカ</t>
    </rPh>
    <phoneticPr fontId="1"/>
  </si>
  <si>
    <t>ひろせさん</t>
    <phoneticPr fontId="1"/>
  </si>
  <si>
    <t>D1</t>
    <phoneticPr fontId="1"/>
  </si>
  <si>
    <t>かとーさん</t>
    <phoneticPr fontId="1"/>
  </si>
  <si>
    <t>ふくいさん</t>
    <phoneticPr fontId="1"/>
  </si>
  <si>
    <t>哲学か</t>
    <rPh sb="0" eb="2">
      <t>テツガク</t>
    </rPh>
    <phoneticPr fontId="1"/>
  </si>
  <si>
    <t>みぞぐちさん</t>
    <phoneticPr fontId="1"/>
  </si>
  <si>
    <t>史学科？</t>
    <rPh sb="0" eb="3">
      <t>シガクカ</t>
    </rPh>
    <phoneticPr fontId="1"/>
  </si>
  <si>
    <t>しおたさん</t>
    <phoneticPr fontId="1"/>
  </si>
  <si>
    <t>ふめい</t>
    <phoneticPr fontId="1"/>
  </si>
  <si>
    <t>いながきさん</t>
    <phoneticPr fontId="1"/>
  </si>
  <si>
    <t>社会学科</t>
    <rPh sb="0" eb="2">
      <t>シャカイ</t>
    </rPh>
    <rPh sb="2" eb="4">
      <t>ガッカ</t>
    </rPh>
    <phoneticPr fontId="1"/>
  </si>
  <si>
    <t>とうさん</t>
    <phoneticPr fontId="1"/>
  </si>
  <si>
    <t>体育学科</t>
    <rPh sb="0" eb="2">
      <t>タイイク</t>
    </rPh>
    <rPh sb="2" eb="4">
      <t>ガッカ</t>
    </rPh>
    <phoneticPr fontId="1"/>
  </si>
  <si>
    <t>しょうさん</t>
    <phoneticPr fontId="1"/>
  </si>
  <si>
    <t>心理学科</t>
    <rPh sb="0" eb="2">
      <t>シンリ</t>
    </rPh>
    <rPh sb="2" eb="4">
      <t>ガッカ</t>
    </rPh>
    <phoneticPr fontId="1"/>
  </si>
  <si>
    <t>かまたさん</t>
    <phoneticPr fontId="1"/>
  </si>
  <si>
    <t>地球何とか</t>
    <rPh sb="0" eb="2">
      <t>チキュウ</t>
    </rPh>
    <rPh sb="2" eb="3">
      <t>ナン</t>
    </rPh>
    <phoneticPr fontId="1"/>
  </si>
  <si>
    <t>こばやしさん</t>
    <phoneticPr fontId="1"/>
  </si>
  <si>
    <t>相関何とか</t>
    <rPh sb="0" eb="2">
      <t>ソウカン</t>
    </rPh>
    <rPh sb="2" eb="3">
      <t>ナン</t>
    </rPh>
    <phoneticPr fontId="1"/>
  </si>
  <si>
    <t>M１</t>
    <phoneticPr fontId="1"/>
  </si>
  <si>
    <t>はらだ</t>
    <phoneticPr fontId="1"/>
  </si>
  <si>
    <t>M1</t>
    <phoneticPr fontId="1"/>
  </si>
  <si>
    <t>さかぐちさん</t>
    <phoneticPr fontId="1"/>
  </si>
  <si>
    <t>なんかすごい</t>
    <phoneticPr fontId="1"/>
  </si>
  <si>
    <t>やさしい</t>
    <phoneticPr fontId="1"/>
  </si>
  <si>
    <t>おもしろいよくしゃべる</t>
    <phoneticPr fontId="1"/>
  </si>
  <si>
    <t>みすたーパーフェクト</t>
    <phoneticPr fontId="1"/>
  </si>
  <si>
    <t>おもしろい</t>
    <phoneticPr fontId="1"/>
  </si>
  <si>
    <t>バイク通学</t>
    <rPh sb="3" eb="5">
      <t>ツウガク</t>
    </rPh>
    <phoneticPr fontId="1"/>
  </si>
  <si>
    <t>あったことない</t>
    <phoneticPr fontId="1"/>
  </si>
  <si>
    <t>つよい</t>
    <phoneticPr fontId="1"/>
  </si>
  <si>
    <t>身長が高い</t>
    <rPh sb="0" eb="2">
      <t>シンチョウ</t>
    </rPh>
    <rPh sb="3" eb="4">
      <t>タカ</t>
    </rPh>
    <phoneticPr fontId="1"/>
  </si>
  <si>
    <t>すごい</t>
    <phoneticPr fontId="1"/>
  </si>
  <si>
    <t>ノーコメント</t>
    <phoneticPr fontId="1"/>
  </si>
  <si>
    <t>ねこ</t>
    <phoneticPr fontId="1"/>
  </si>
  <si>
    <t>かわいい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</si>
</sst>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Red]\(0\)"/>
    <numFmt numFmtId="177" formatCode="h:mm;@"/>
    <numFmt numFmtId="178" formatCode="0.00_);[Red]\(0.00\)"/>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16"/>
      <color theme="1"/>
      <name val="源ノ角ゴシック JP"/>
      <family val="2"/>
      <charset val="128"/>
    </font>
    <font>
      <sz val="11"/>
      <color rgb="FF000000"/>
      <name val="游ゴシック"/>
      <family val="3"/>
      <charset val="128"/>
    </font>
    <font>
      <sz val="20"/>
      <color theme="1"/>
      <name val="源ノ角ゴシック JP"/>
      <family val="2"/>
      <charset val="128"/>
    </font>
  </fonts>
  <fills count="6">
    <fill>
      <patternFill patternType="none"/>
    </fill>
    <fill>
      <patternFill patternType="gray125"/>
    </fill>
    <fill>
      <patternFill patternType="solid">
        <fgColor rgb="FFFFFF00"/>
        <bgColor indexed="64"/>
      </patternFill>
    </fill>
    <fill>
      <patternFill patternType="solid">
        <fgColor rgb="FFD4EAFC"/>
        <bgColor indexed="64"/>
      </patternFill>
    </fill>
    <fill>
      <patternFill patternType="solid">
        <fgColor rgb="FFFFD1D1"/>
        <bgColor indexed="64"/>
      </patternFill>
    </fill>
    <fill>
      <patternFill patternType="solid">
        <fgColor rgb="FFFF99A0"/>
        <bgColor indexed="64"/>
      </patternFill>
    </fill>
  </fills>
  <borders count="1">
    <border>
      <left/>
      <right/>
      <top/>
      <bottom/>
      <diagonal/>
    </border>
  </borders>
  <cellStyleXfs count="1">
    <xf numFmtId="0" fontId="0" fillId="0" borderId="0">
      <alignment vertical="center"/>
    </xf>
  </cellStyleXfs>
  <cellXfs count="35">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7" fillId="0" borderId="0" xfId="0" applyNumberFormat="1" applyFont="1" applyAlignment="1">
      <alignment horizontal="center" vertical="center"/>
    </xf>
    <xf numFmtId="19" fontId="7"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0" fillId="0" borderId="0" xfId="0">
      <alignment vertical="center"/>
    </xf>
    <xf numFmtId="0" fontId="6" fillId="3"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5" borderId="0" xfId="0" applyFont="1" applyFill="1" applyBorder="1" applyAlignment="1">
      <alignment horizontal="center" vertical="center" wrapText="1"/>
    </xf>
    <xf numFmtId="0" fontId="9" fillId="0" borderId="0" xfId="0" applyFont="1">
      <alignment vertical="center"/>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0" fillId="0" borderId="0" xfId="0">
      <alignment vertical="center"/>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IMG_5303.jpg" TargetMode="External"/><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xdr:twoCellAnchor>
    <xdr:from>
      <xdr:col>1</xdr:col>
      <xdr:colOff>29172</xdr:colOff>
      <xdr:row>2</xdr:row>
      <xdr:rowOff>377428</xdr:rowOff>
    </xdr:from>
    <xdr:to>
      <xdr:col>9</xdr:col>
      <xdr:colOff>185141</xdr:colOff>
      <xdr:row>3</xdr:row>
      <xdr:rowOff>9524</xdr:rowOff>
    </xdr:to>
    <xdr:cxnSp macro="">
      <xdr:nvCxnSpPr>
        <xdr:cNvPr id="53" name="直線コネクタ 52">
          <a:extLst>
            <a:ext uri="{FF2B5EF4-FFF2-40B4-BE49-F238E27FC236}">
              <a16:creationId xmlns:a16="http://schemas.microsoft.com/office/drawing/2014/main" id="{00000000-0008-0000-0000-000035000000}"/>
            </a:ext>
          </a:extLst>
        </xdr:cNvPr>
        <xdr:cNvCxnSpPr/>
      </xdr:nvCxnSpPr>
      <xdr:spPr>
        <a:xfrm flipH="1" flipV="1">
          <a:off x="493516" y="1133476"/>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xdr:twoCellAnchor>
    <xdr:from>
      <xdr:col>2</xdr:col>
      <xdr:colOff>1404937</xdr:colOff>
      <xdr:row>2</xdr:row>
      <xdr:rowOff>-1</xdr:rowOff>
    </xdr:from>
    <xdr:to>
      <xdr:col>3</xdr:col>
      <xdr:colOff>5952</xdr:colOff>
      <xdr:row>8</xdr:row>
      <xdr:rowOff>77391</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flipH="1">
          <a:off x="2232422" y="756047"/>
          <a:ext cx="17859" cy="4893469"/>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4</xdr:col>
      <xdr:colOff>1408508</xdr:colOff>
      <xdr:row>2</xdr:row>
      <xdr:rowOff>12508</xdr:rowOff>
    </xdr:from>
    <xdr:to>
      <xdr:col>5</xdr:col>
      <xdr:colOff>9524</xdr:colOff>
      <xdr:row>8</xdr:row>
      <xdr:rowOff>86924</xdr:rowOff>
    </xdr:to>
    <xdr:cxnSp macro="">
      <xdr:nvCxnSpPr>
        <xdr:cNvPr id="12" name="直線コネクタ 11">
          <a:extLst>
            <a:ext uri="{FF2B5EF4-FFF2-40B4-BE49-F238E27FC236}">
              <a16:creationId xmlns:a16="http://schemas.microsoft.com/office/drawing/2014/main" id="{00000000-0008-0000-0000-00000C000000}"/>
            </a:ext>
          </a:extLst>
        </xdr:cNvPr>
        <xdr:cNvCxnSpPr/>
      </xdr:nvCxnSpPr>
      <xdr:spPr>
        <a:xfrm flipH="1">
          <a:off x="5060751" y="765579"/>
          <a:ext cx="14882"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5</xdr:col>
      <xdr:colOff>1409104</xdr:colOff>
      <xdr:row>1</xdr:row>
      <xdr:rowOff>370284</xdr:rowOff>
    </xdr:from>
    <xdr:to>
      <xdr:col>6</xdr:col>
      <xdr:colOff>10119</xdr:colOff>
      <xdr:row>7</xdr:row>
      <xdr:rowOff>870347</xdr:rowOff>
    </xdr:to>
    <xdr:cxnSp macro="">
      <xdr:nvCxnSpPr>
        <xdr:cNvPr id="13" name="直線コネクタ 12">
          <a:extLst>
            <a:ext uri="{FF2B5EF4-FFF2-40B4-BE49-F238E27FC236}">
              <a16:creationId xmlns:a16="http://schemas.microsoft.com/office/drawing/2014/main" id="{00000000-0008-0000-0000-00000D000000}"/>
            </a:ext>
          </a:extLst>
        </xdr:cNvPr>
        <xdr:cNvCxnSpPr/>
      </xdr:nvCxnSpPr>
      <xdr:spPr>
        <a:xfrm flipH="1">
          <a:off x="6475213" y="661987"/>
          <a:ext cx="14883" cy="4890493"/>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6</xdr:col>
      <xdr:colOff>1409700</xdr:colOff>
      <xdr:row>1</xdr:row>
      <xdr:rowOff>439340</xdr:rowOff>
    </xdr:from>
    <xdr:to>
      <xdr:col>7</xdr:col>
      <xdr:colOff>10715</xdr:colOff>
      <xdr:row>8</xdr:row>
      <xdr:rowOff>52388</xdr:rowOff>
    </xdr:to>
    <xdr:cxnSp macro="">
      <xdr:nvCxnSpPr>
        <xdr:cNvPr id="14" name="直線コネクタ 13">
          <a:extLst>
            <a:ext uri="{FF2B5EF4-FFF2-40B4-BE49-F238E27FC236}">
              <a16:creationId xmlns:a16="http://schemas.microsoft.com/office/drawing/2014/main" id="{00000000-0008-0000-0000-00000E000000}"/>
            </a:ext>
          </a:extLst>
        </xdr:cNvPr>
        <xdr:cNvCxnSpPr/>
      </xdr:nvCxnSpPr>
      <xdr:spPr>
        <a:xfrm flipH="1">
          <a:off x="7904560" y="731044"/>
          <a:ext cx="17859" cy="4893469"/>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7</xdr:col>
      <xdr:colOff>1404341</xdr:colOff>
      <xdr:row>1</xdr:row>
      <xdr:rowOff>442911</xdr:rowOff>
    </xdr:from>
    <xdr:to>
      <xdr:col>8</xdr:col>
      <xdr:colOff>5356</xdr:colOff>
      <xdr:row>8</xdr:row>
      <xdr:rowOff>55959</xdr:rowOff>
    </xdr:to>
    <xdr:cxnSp macro="">
      <xdr:nvCxnSpPr>
        <xdr:cNvPr id="15" name="直線コネクタ 14">
          <a:extLst>
            <a:ext uri="{FF2B5EF4-FFF2-40B4-BE49-F238E27FC236}">
              <a16:creationId xmlns:a16="http://schemas.microsoft.com/office/drawing/2014/main" id="{00000000-0008-0000-0000-00000F000000}"/>
            </a:ext>
          </a:extLst>
        </xdr:cNvPr>
        <xdr:cNvCxnSpPr/>
      </xdr:nvCxnSpPr>
      <xdr:spPr>
        <a:xfrm flipH="1">
          <a:off x="9298185" y="734614"/>
          <a:ext cx="14882"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8</xdr:col>
      <xdr:colOff>1404937</xdr:colOff>
      <xdr:row>1</xdr:row>
      <xdr:rowOff>452445</xdr:rowOff>
    </xdr:from>
    <xdr:to>
      <xdr:col>9</xdr:col>
      <xdr:colOff>5953</xdr:colOff>
      <xdr:row>8</xdr:row>
      <xdr:rowOff>65493</xdr:rowOff>
    </xdr:to>
    <xdr:cxnSp macro="">
      <xdr:nvCxnSpPr>
        <xdr:cNvPr id="16" name="直線コネクタ 15">
          <a:extLst>
            <a:ext uri="{FF2B5EF4-FFF2-40B4-BE49-F238E27FC236}">
              <a16:creationId xmlns:a16="http://schemas.microsoft.com/office/drawing/2014/main" id="{00000000-0008-0000-0000-000010000000}"/>
            </a:ext>
          </a:extLst>
        </xdr:cNvPr>
        <xdr:cNvCxnSpPr/>
      </xdr:nvCxnSpPr>
      <xdr:spPr>
        <a:xfrm flipH="1">
          <a:off x="10733485" y="744149"/>
          <a:ext cx="17859" cy="4893469"/>
        </a:xfrm>
        <a:prstGeom prst="line">
          <a:avLst/>
        </a:prstGeom>
        <a:ln w="762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360760</xdr:colOff>
      <xdr:row>2</xdr:row>
      <xdr:rowOff>21430</xdr:rowOff>
    </xdr:from>
    <xdr:to>
      <xdr:col>2</xdr:col>
      <xdr:colOff>15478</xdr:colOff>
      <xdr:row>8</xdr:row>
      <xdr:rowOff>98822</xdr:rowOff>
    </xdr:to>
    <xdr:cxnSp macro="">
      <xdr:nvCxnSpPr>
        <xdr:cNvPr id="17" name="直線コネクタ 16">
          <a:extLst>
            <a:ext uri="{FF2B5EF4-FFF2-40B4-BE49-F238E27FC236}">
              <a16:creationId xmlns:a16="http://schemas.microsoft.com/office/drawing/2014/main" id="{00000000-0008-0000-0000-000011000000}"/>
            </a:ext>
          </a:extLst>
        </xdr:cNvPr>
        <xdr:cNvCxnSpPr/>
      </xdr:nvCxnSpPr>
      <xdr:spPr>
        <a:xfrm flipH="1">
          <a:off x="825104" y="777478"/>
          <a:ext cx="17859" cy="4893469"/>
        </a:xfrm>
        <a:prstGeom prst="line">
          <a:avLst/>
        </a:prstGeom>
        <a:ln w="762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3</xdr:col>
      <xdr:colOff>1406126</xdr:colOff>
      <xdr:row>1</xdr:row>
      <xdr:rowOff>459580</xdr:rowOff>
    </xdr:from>
    <xdr:to>
      <xdr:col>4</xdr:col>
      <xdr:colOff>10117</xdr:colOff>
      <xdr:row>8</xdr:row>
      <xdr:rowOff>72628</xdr:rowOff>
    </xdr:to>
    <xdr:cxnSp macro="">
      <xdr:nvCxnSpPr>
        <xdr:cNvPr id="18" name="直線コネクタ 17">
          <a:extLst>
            <a:ext uri="{FF2B5EF4-FFF2-40B4-BE49-F238E27FC236}">
              <a16:creationId xmlns:a16="http://schemas.microsoft.com/office/drawing/2014/main" id="{00000000-0008-0000-0000-000012000000}"/>
            </a:ext>
          </a:extLst>
        </xdr:cNvPr>
        <xdr:cNvCxnSpPr/>
      </xdr:nvCxnSpPr>
      <xdr:spPr>
        <a:xfrm flipH="1">
          <a:off x="3644501" y="751283"/>
          <a:ext cx="17859" cy="4890494"/>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0</xdr:col>
      <xdr:colOff>433390</xdr:colOff>
      <xdr:row>4</xdr:row>
      <xdr:rowOff>10716</xdr:rowOff>
    </xdr:from>
    <xdr:to>
      <xdr:col>9</xdr:col>
      <xdr:colOff>125015</xdr:colOff>
      <xdr:row>4</xdr:row>
      <xdr:rowOff>23812</xdr:rowOff>
    </xdr:to>
    <xdr:cxnSp macro="">
      <xdr:nvCxnSpPr>
        <xdr:cNvPr id="24" name="直線コネクタ 23">
          <a:extLst>
            <a:ext uri="{FF2B5EF4-FFF2-40B4-BE49-F238E27FC236}">
              <a16:creationId xmlns:a16="http://schemas.microsoft.com/office/drawing/2014/main" id="{00000000-0008-0000-0000-000018000000}"/>
            </a:ext>
          </a:extLst>
        </xdr:cNvPr>
        <xdr:cNvCxnSpPr/>
      </xdr:nvCxnSpPr>
      <xdr:spPr>
        <a:xfrm flipH="1" flipV="1">
          <a:off x="433390" y="2034779"/>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29172</xdr:colOff>
      <xdr:row>2</xdr:row>
      <xdr:rowOff>377428</xdr:rowOff>
    </xdr:from>
    <xdr:to>
      <xdr:col>9</xdr:col>
      <xdr:colOff>185141</xdr:colOff>
      <xdr:row>3</xdr:row>
      <xdr:rowOff>9524</xdr:rowOff>
    </xdr:to>
    <xdr:cxnSp macro="">
      <xdr:nvCxnSpPr>
        <xdr:cNvPr id="28" name="直線コネクタ 27">
          <a:extLst>
            <a:ext uri="{FF2B5EF4-FFF2-40B4-BE49-F238E27FC236}">
              <a16:creationId xmlns:a16="http://schemas.microsoft.com/office/drawing/2014/main" id="{00000000-0008-0000-0000-00001C000000}"/>
            </a:ext>
          </a:extLst>
        </xdr:cNvPr>
        <xdr:cNvCxnSpPr/>
      </xdr:nvCxnSpPr>
      <xdr:spPr>
        <a:xfrm flipH="1" flipV="1">
          <a:off x="490540" y="1130499"/>
          <a:ext cx="10416179"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17985</xdr:colOff>
      <xdr:row>4</xdr:row>
      <xdr:rowOff>10491</xdr:rowOff>
    </xdr:from>
    <xdr:to>
      <xdr:col>9</xdr:col>
      <xdr:colOff>3974</xdr:colOff>
      <xdr:row>4</xdr:row>
      <xdr:rowOff>21909</xdr:rowOff>
    </xdr:to>
    <xdr:cxnSp macro="">
      <xdr:nvCxnSpPr>
        <xdr:cNvPr id="45" name="直線コネクタ 44">
          <a:extLst>
            <a:ext uri="{FF2B5EF4-FFF2-40B4-BE49-F238E27FC236}">
              <a16:creationId xmlns:a16="http://schemas.microsoft.com/office/drawing/2014/main" id="{00000000-0008-0000-0000-00002D000000}"/>
            </a:ext>
          </a:extLst>
        </xdr:cNvPr>
        <xdr:cNvCxnSpPr/>
      </xdr:nvCxnSpPr>
      <xdr:spPr>
        <a:xfrm rot="5400000" flipH="1">
          <a:off x="5610138" y="-3093255"/>
          <a:ext cx="11418"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458393</xdr:colOff>
      <xdr:row>5</xdr:row>
      <xdr:rowOff>11907</xdr:rowOff>
    </xdr:from>
    <xdr:to>
      <xdr:col>9</xdr:col>
      <xdr:colOff>150018</xdr:colOff>
      <xdr:row>5</xdr:row>
      <xdr:rowOff>25003</xdr:rowOff>
    </xdr:to>
    <xdr:cxnSp macro="">
      <xdr:nvCxnSpPr>
        <xdr:cNvPr id="29" name="直線コネクタ 28">
          <a:extLst>
            <a:ext uri="{FF2B5EF4-FFF2-40B4-BE49-F238E27FC236}">
              <a16:creationId xmlns:a16="http://schemas.microsoft.com/office/drawing/2014/main" id="{00000000-0008-0000-0000-00001D000000}"/>
            </a:ext>
          </a:extLst>
        </xdr:cNvPr>
        <xdr:cNvCxnSpPr/>
      </xdr:nvCxnSpPr>
      <xdr:spPr>
        <a:xfrm flipH="1" flipV="1">
          <a:off x="458393" y="2922986"/>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21433</xdr:colOff>
      <xdr:row>6</xdr:row>
      <xdr:rowOff>3574</xdr:rowOff>
    </xdr:from>
    <xdr:to>
      <xdr:col>9</xdr:col>
      <xdr:colOff>177402</xdr:colOff>
      <xdr:row>6</xdr:row>
      <xdr:rowOff>16670</xdr:rowOff>
    </xdr:to>
    <xdr:cxnSp macro="">
      <xdr:nvCxnSpPr>
        <xdr:cNvPr id="30" name="直線コネクタ 29">
          <a:extLst>
            <a:ext uri="{FF2B5EF4-FFF2-40B4-BE49-F238E27FC236}">
              <a16:creationId xmlns:a16="http://schemas.microsoft.com/office/drawing/2014/main" id="{00000000-0008-0000-0000-00001E000000}"/>
            </a:ext>
          </a:extLst>
        </xdr:cNvPr>
        <xdr:cNvCxnSpPr/>
      </xdr:nvCxnSpPr>
      <xdr:spPr>
        <a:xfrm flipH="1" flipV="1">
          <a:off x="485777" y="3801668"/>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xdr:col>
      <xdr:colOff>13099</xdr:colOff>
      <xdr:row>7</xdr:row>
      <xdr:rowOff>7145</xdr:rowOff>
    </xdr:from>
    <xdr:to>
      <xdr:col>9</xdr:col>
      <xdr:colOff>169068</xdr:colOff>
      <xdr:row>7</xdr:row>
      <xdr:rowOff>20241</xdr:rowOff>
    </xdr:to>
    <xdr:cxnSp macro="">
      <xdr:nvCxnSpPr>
        <xdr:cNvPr id="31" name="直線コネクタ 30">
          <a:extLst>
            <a:ext uri="{FF2B5EF4-FFF2-40B4-BE49-F238E27FC236}">
              <a16:creationId xmlns:a16="http://schemas.microsoft.com/office/drawing/2014/main" id="{00000000-0008-0000-0000-00001F000000}"/>
            </a:ext>
          </a:extLst>
        </xdr:cNvPr>
        <xdr:cNvCxnSpPr/>
      </xdr:nvCxnSpPr>
      <xdr:spPr>
        <a:xfrm flipH="1" flipV="1">
          <a:off x="477443" y="4692255"/>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0</xdr:col>
      <xdr:colOff>410766</xdr:colOff>
      <xdr:row>8</xdr:row>
      <xdr:rowOff>0</xdr:rowOff>
    </xdr:from>
    <xdr:to>
      <xdr:col>9</xdr:col>
      <xdr:colOff>102391</xdr:colOff>
      <xdr:row>8</xdr:row>
      <xdr:rowOff>13096</xdr:rowOff>
    </xdr:to>
    <xdr:cxnSp macro="">
      <xdr:nvCxnSpPr>
        <xdr:cNvPr id="32" name="直線コネクタ 31">
          <a:extLst>
            <a:ext uri="{FF2B5EF4-FFF2-40B4-BE49-F238E27FC236}">
              <a16:creationId xmlns:a16="http://schemas.microsoft.com/office/drawing/2014/main" id="{00000000-0008-0000-0000-000020000000}"/>
            </a:ext>
          </a:extLst>
        </xdr:cNvPr>
        <xdr:cNvCxnSpPr/>
      </xdr:nvCxnSpPr>
      <xdr:spPr>
        <a:xfrm flipH="1" flipV="1">
          <a:off x="410766" y="5572125"/>
          <a:ext cx="10437016" cy="13096"/>
        </a:xfrm>
        <a:prstGeom prst="line">
          <a:avLst/>
        </a:prstGeom>
        <a:ln w="114300">
          <a:solidFill>
            <a:srgbClr val="FFFFFF"/>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7</xdr:col>
      <xdr:colOff>1407911</xdr:colOff>
      <xdr:row>2</xdr:row>
      <xdr:rowOff>8925</xdr:rowOff>
    </xdr:from>
    <xdr:to>
      <xdr:col>8</xdr:col>
      <xdr:colOff>3569</xdr:colOff>
      <xdr:row>7</xdr:row>
      <xdr:rowOff>865698</xdr:rowOff>
    </xdr:to>
    <xdr:cxnSp macro="">
      <xdr:nvCxnSpPr>
        <xdr:cNvPr id="20" name="直線コネクタ 19">
          <a:extLst>
            <a:ext uri="{FF2B5EF4-FFF2-40B4-BE49-F238E27FC236}">
              <a16:creationId xmlns:a16="http://schemas.microsoft.com/office/drawing/2014/main" id="{00000000-0008-0000-0000-000014000000}"/>
            </a:ext>
          </a:extLst>
        </xdr:cNvPr>
        <xdr:cNvCxnSpPr/>
      </xdr:nvCxnSpPr>
      <xdr:spPr>
        <a:xfrm flipH="1">
          <a:off x="9319615" y="764973"/>
          <a:ext cx="12502" cy="4785835"/>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1409104</xdr:colOff>
      <xdr:row>1</xdr:row>
      <xdr:rowOff>460772</xdr:rowOff>
    </xdr:from>
    <xdr:to>
      <xdr:col>3</xdr:col>
      <xdr:colOff>4167</xdr:colOff>
      <xdr:row>8</xdr:row>
      <xdr:rowOff>2727</xdr:rowOff>
    </xdr:to>
    <xdr:cxnSp macro="">
      <xdr:nvCxnSpPr>
        <xdr:cNvPr id="37" name="直線コネクタ 36">
          <a:extLst>
            <a:ext uri="{FF2B5EF4-FFF2-40B4-BE49-F238E27FC236}">
              <a16:creationId xmlns:a16="http://schemas.microsoft.com/office/drawing/2014/main" id="{00000000-0008-0000-0000-000025000000}"/>
            </a:ext>
          </a:extLst>
        </xdr:cNvPr>
        <xdr:cNvCxnSpPr/>
      </xdr:nvCxnSpPr>
      <xdr:spPr>
        <a:xfrm flipH="1">
          <a:off x="2236048" y="750852"/>
          <a:ext cx="10824"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1411483</xdr:colOff>
      <xdr:row>1</xdr:row>
      <xdr:rowOff>456009</xdr:rowOff>
    </xdr:from>
    <xdr:to>
      <xdr:col>4</xdr:col>
      <xdr:colOff>7140</xdr:colOff>
      <xdr:row>7</xdr:row>
      <xdr:rowOff>885521</xdr:rowOff>
    </xdr:to>
    <xdr:cxnSp macro="">
      <xdr:nvCxnSpPr>
        <xdr:cNvPr id="38" name="直線コネクタ 37">
          <a:extLst>
            <a:ext uri="{FF2B5EF4-FFF2-40B4-BE49-F238E27FC236}">
              <a16:creationId xmlns:a16="http://schemas.microsoft.com/office/drawing/2014/main" id="{00000000-0008-0000-0000-000026000000}"/>
            </a:ext>
          </a:extLst>
        </xdr:cNvPr>
        <xdr:cNvCxnSpPr/>
      </xdr:nvCxnSpPr>
      <xdr:spPr>
        <a:xfrm flipH="1">
          <a:off x="3654188" y="746089"/>
          <a:ext cx="11418"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1410887</xdr:colOff>
      <xdr:row>2</xdr:row>
      <xdr:rowOff>28574</xdr:rowOff>
    </xdr:from>
    <xdr:to>
      <xdr:col>5</xdr:col>
      <xdr:colOff>6546</xdr:colOff>
      <xdr:row>7</xdr:row>
      <xdr:rowOff>884805</xdr:rowOff>
    </xdr:to>
    <xdr:cxnSp macro="">
      <xdr:nvCxnSpPr>
        <xdr:cNvPr id="39" name="直線コネクタ 38">
          <a:extLst>
            <a:ext uri="{FF2B5EF4-FFF2-40B4-BE49-F238E27FC236}">
              <a16:creationId xmlns:a16="http://schemas.microsoft.com/office/drawing/2014/main" id="{00000000-0008-0000-0000-000027000000}"/>
            </a:ext>
          </a:extLst>
        </xdr:cNvPr>
        <xdr:cNvCxnSpPr/>
      </xdr:nvCxnSpPr>
      <xdr:spPr>
        <a:xfrm flipH="1">
          <a:off x="5072060" y="784622"/>
          <a:ext cx="12502" cy="4785293"/>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1409698</xdr:colOff>
      <xdr:row>2</xdr:row>
      <xdr:rowOff>11906</xdr:rowOff>
    </xdr:from>
    <xdr:to>
      <xdr:col>6</xdr:col>
      <xdr:colOff>5355</xdr:colOff>
      <xdr:row>7</xdr:row>
      <xdr:rowOff>868679</xdr:rowOff>
    </xdr:to>
    <xdr:cxnSp macro="">
      <xdr:nvCxnSpPr>
        <xdr:cNvPr id="40" name="直線コネクタ 39">
          <a:extLst>
            <a:ext uri="{FF2B5EF4-FFF2-40B4-BE49-F238E27FC236}">
              <a16:creationId xmlns:a16="http://schemas.microsoft.com/office/drawing/2014/main" id="{00000000-0008-0000-0000-000028000000}"/>
            </a:ext>
          </a:extLst>
        </xdr:cNvPr>
        <xdr:cNvCxnSpPr/>
      </xdr:nvCxnSpPr>
      <xdr:spPr>
        <a:xfrm flipH="1">
          <a:off x="6483925" y="765247"/>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1406720</xdr:colOff>
      <xdr:row>2</xdr:row>
      <xdr:rowOff>19048</xdr:rowOff>
    </xdr:from>
    <xdr:to>
      <xdr:col>7</xdr:col>
      <xdr:colOff>2378</xdr:colOff>
      <xdr:row>7</xdr:row>
      <xdr:rowOff>875821</xdr:rowOff>
    </xdr:to>
    <xdr:cxnSp macro="">
      <xdr:nvCxnSpPr>
        <xdr:cNvPr id="41" name="直線コネクタ 40">
          <a:extLst>
            <a:ext uri="{FF2B5EF4-FFF2-40B4-BE49-F238E27FC236}">
              <a16:creationId xmlns:a16="http://schemas.microsoft.com/office/drawing/2014/main" id="{00000000-0008-0000-0000-000029000000}"/>
            </a:ext>
          </a:extLst>
        </xdr:cNvPr>
        <xdr:cNvCxnSpPr/>
      </xdr:nvCxnSpPr>
      <xdr:spPr>
        <a:xfrm flipH="1">
          <a:off x="7896709" y="772389"/>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1411483</xdr:colOff>
      <xdr:row>2</xdr:row>
      <xdr:rowOff>17262</xdr:rowOff>
    </xdr:from>
    <xdr:to>
      <xdr:col>9</xdr:col>
      <xdr:colOff>7141</xdr:colOff>
      <xdr:row>7</xdr:row>
      <xdr:rowOff>874035</xdr:rowOff>
    </xdr:to>
    <xdr:cxnSp macro="">
      <xdr:nvCxnSpPr>
        <xdr:cNvPr id="42" name="直線コネクタ 41">
          <a:extLst>
            <a:ext uri="{FF2B5EF4-FFF2-40B4-BE49-F238E27FC236}">
              <a16:creationId xmlns:a16="http://schemas.microsoft.com/office/drawing/2014/main" id="{00000000-0008-0000-0000-00002A000000}"/>
            </a:ext>
          </a:extLst>
        </xdr:cNvPr>
        <xdr:cNvCxnSpPr/>
      </xdr:nvCxnSpPr>
      <xdr:spPr>
        <a:xfrm flipH="1">
          <a:off x="10732995" y="770603"/>
          <a:ext cx="11419" cy="4788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352788</xdr:colOff>
      <xdr:row>1</xdr:row>
      <xdr:rowOff>451480</xdr:rowOff>
    </xdr:from>
    <xdr:to>
      <xdr:col>2</xdr:col>
      <xdr:colOff>2180</xdr:colOff>
      <xdr:row>7</xdr:row>
      <xdr:rowOff>880992</xdr:rowOff>
    </xdr:to>
    <xdr:cxnSp macro="">
      <xdr:nvCxnSpPr>
        <xdr:cNvPr id="43" name="直線コネクタ 42">
          <a:extLst>
            <a:ext uri="{FF2B5EF4-FFF2-40B4-BE49-F238E27FC236}">
              <a16:creationId xmlns:a16="http://schemas.microsoft.com/office/drawing/2014/main" id="{00000000-0008-0000-0000-00002B000000}"/>
            </a:ext>
          </a:extLst>
        </xdr:cNvPr>
        <xdr:cNvCxnSpPr/>
      </xdr:nvCxnSpPr>
      <xdr:spPr>
        <a:xfrm flipH="1">
          <a:off x="816050" y="741560"/>
          <a:ext cx="13074"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19946</xdr:colOff>
      <xdr:row>2</xdr:row>
      <xdr:rowOff>373235</xdr:rowOff>
    </xdr:from>
    <xdr:to>
      <xdr:col>9</xdr:col>
      <xdr:colOff>5935</xdr:colOff>
      <xdr:row>3</xdr:row>
      <xdr:rowOff>3653</xdr:rowOff>
    </xdr:to>
    <xdr:cxnSp macro="">
      <xdr:nvCxnSpPr>
        <xdr:cNvPr id="44" name="直線コネクタ 43">
          <a:extLst>
            <a:ext uri="{FF2B5EF4-FFF2-40B4-BE49-F238E27FC236}">
              <a16:creationId xmlns:a16="http://schemas.microsoft.com/office/drawing/2014/main" id="{00000000-0008-0000-0000-00002C000000}"/>
            </a:ext>
          </a:extLst>
        </xdr:cNvPr>
        <xdr:cNvCxnSpPr/>
      </xdr:nvCxnSpPr>
      <xdr:spPr>
        <a:xfrm rot="5400000" flipH="1">
          <a:off x="5612099" y="-3998526"/>
          <a:ext cx="11418"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455169</xdr:colOff>
      <xdr:row>5</xdr:row>
      <xdr:rowOff>11285</xdr:rowOff>
    </xdr:from>
    <xdr:to>
      <xdr:col>9</xdr:col>
      <xdr:colOff>13896</xdr:colOff>
      <xdr:row>5</xdr:row>
      <xdr:rowOff>22703</xdr:rowOff>
    </xdr:to>
    <xdr:cxnSp macro="">
      <xdr:nvCxnSpPr>
        <xdr:cNvPr id="46" name="直線コネクタ 45">
          <a:extLst>
            <a:ext uri="{FF2B5EF4-FFF2-40B4-BE49-F238E27FC236}">
              <a16:creationId xmlns:a16="http://schemas.microsoft.com/office/drawing/2014/main" id="{00000000-0008-0000-0000-00002E000000}"/>
            </a:ext>
          </a:extLst>
        </xdr:cNvPr>
        <xdr:cNvCxnSpPr/>
      </xdr:nvCxnSpPr>
      <xdr:spPr>
        <a:xfrm rot="5400000" flipH="1">
          <a:off x="5601519" y="-2223986"/>
          <a:ext cx="11418" cy="10304118"/>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15438</xdr:colOff>
      <xdr:row>6</xdr:row>
      <xdr:rowOff>4934</xdr:rowOff>
    </xdr:from>
    <xdr:to>
      <xdr:col>9</xdr:col>
      <xdr:colOff>1427</xdr:colOff>
      <xdr:row>6</xdr:row>
      <xdr:rowOff>16352</xdr:rowOff>
    </xdr:to>
    <xdr:cxnSp macro="">
      <xdr:nvCxnSpPr>
        <xdr:cNvPr id="47" name="直線コネクタ 46">
          <a:extLst>
            <a:ext uri="{FF2B5EF4-FFF2-40B4-BE49-F238E27FC236}">
              <a16:creationId xmlns:a16="http://schemas.microsoft.com/office/drawing/2014/main" id="{00000000-0008-0000-0000-00002F000000}"/>
            </a:ext>
          </a:extLst>
        </xdr:cNvPr>
        <xdr:cNvCxnSpPr/>
      </xdr:nvCxnSpPr>
      <xdr:spPr>
        <a:xfrm rot="5400000" flipH="1">
          <a:off x="5602991" y="-1322345"/>
          <a:ext cx="11418" cy="10260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444648</xdr:colOff>
      <xdr:row>7</xdr:row>
      <xdr:rowOff>9300</xdr:rowOff>
    </xdr:from>
    <xdr:to>
      <xdr:col>9</xdr:col>
      <xdr:colOff>3375</xdr:colOff>
      <xdr:row>7</xdr:row>
      <xdr:rowOff>20718</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rot="5400000" flipH="1">
          <a:off x="5590998" y="-451940"/>
          <a:ext cx="11418" cy="10304118"/>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2985</xdr:colOff>
      <xdr:row>7</xdr:row>
      <xdr:rowOff>876076</xdr:rowOff>
    </xdr:from>
    <xdr:to>
      <xdr:col>9</xdr:col>
      <xdr:colOff>0</xdr:colOff>
      <xdr:row>7</xdr:row>
      <xdr:rowOff>883227</xdr:rowOff>
    </xdr:to>
    <xdr:cxnSp macro="">
      <xdr:nvCxnSpPr>
        <xdr:cNvPr id="49" name="直線コネクタ 48">
          <a:extLst>
            <a:ext uri="{FF2B5EF4-FFF2-40B4-BE49-F238E27FC236}">
              <a16:creationId xmlns:a16="http://schemas.microsoft.com/office/drawing/2014/main" id="{00000000-0008-0000-0000-000031000000}"/>
            </a:ext>
          </a:extLst>
        </xdr:cNvPr>
        <xdr:cNvCxnSpPr/>
      </xdr:nvCxnSpPr>
      <xdr:spPr>
        <a:xfrm flipH="1" flipV="1">
          <a:off x="467329" y="5561186"/>
          <a:ext cx="10278062" cy="7151"/>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24264</xdr:colOff>
      <xdr:row>1</xdr:row>
      <xdr:rowOff>459588</xdr:rowOff>
    </xdr:from>
    <xdr:to>
      <xdr:col>9</xdr:col>
      <xdr:colOff>10253</xdr:colOff>
      <xdr:row>2</xdr:row>
      <xdr:rowOff>8363</xdr:rowOff>
    </xdr:to>
    <xdr:cxnSp macro="">
      <xdr:nvCxnSpPr>
        <xdr:cNvPr id="50" name="直線コネクタ 49">
          <a:extLst>
            <a:ext uri="{FF2B5EF4-FFF2-40B4-BE49-F238E27FC236}">
              <a16:creationId xmlns:a16="http://schemas.microsoft.com/office/drawing/2014/main" id="{00000000-0008-0000-0000-000032000000}"/>
            </a:ext>
          </a:extLst>
        </xdr:cNvPr>
        <xdr:cNvCxnSpPr/>
      </xdr:nvCxnSpPr>
      <xdr:spPr>
        <a:xfrm rot="5400000" flipH="1">
          <a:off x="5615566" y="-4375666"/>
          <a:ext cx="13119" cy="10267036"/>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459444</xdr:colOff>
      <xdr:row>1</xdr:row>
      <xdr:rowOff>459140</xdr:rowOff>
    </xdr:from>
    <xdr:to>
      <xdr:col>1</xdr:col>
      <xdr:colOff>6164</xdr:colOff>
      <xdr:row>8</xdr:row>
      <xdr:rowOff>1095</xdr:rowOff>
    </xdr:to>
    <xdr:cxnSp macro="">
      <xdr:nvCxnSpPr>
        <xdr:cNvPr id="51" name="直線コネクタ 50">
          <a:extLst>
            <a:ext uri="{FF2B5EF4-FFF2-40B4-BE49-F238E27FC236}">
              <a16:creationId xmlns:a16="http://schemas.microsoft.com/office/drawing/2014/main" id="{00000000-0008-0000-0000-000033000000}"/>
            </a:ext>
          </a:extLst>
        </xdr:cNvPr>
        <xdr:cNvCxnSpPr/>
      </xdr:nvCxnSpPr>
      <xdr:spPr>
        <a:xfrm flipH="1">
          <a:off x="459444" y="749220"/>
          <a:ext cx="9982" cy="4824000"/>
        </a:xfrm>
        <a:prstGeom prst="line">
          <a:avLst/>
        </a:prstGeom>
        <a:ln w="1905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199549</xdr:rowOff>
    </xdr:from>
    <xdr:to>
      <xdr:col>2</xdr:col>
      <xdr:colOff>0</xdr:colOff>
      <xdr:row>1</xdr:row>
      <xdr:rowOff>1696165</xdr:rowOff>
    </xdr:to>
    <xdr:sp macro="" textlink="">
      <xdr:nvSpPr>
        <xdr:cNvPr id="317" name="テキスト ボックス 316">
          <a:extLst>
            <a:ext uri="{FF2B5EF4-FFF2-40B4-BE49-F238E27FC236}">
              <a16:creationId xmlns:a16="http://schemas.microsoft.com/office/drawing/2014/main" id="{E5DA2CE1-91C8-4E2D-BA79-4C384BA45554}"/>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中文学科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おさかべさん</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318" name="テキスト ボックス 317">
          <a:extLst>
            <a:ext uri="{FF2B5EF4-FFF2-40B4-BE49-F238E27FC236}">
              <a16:creationId xmlns:a16="http://schemas.microsoft.com/office/drawing/2014/main" id="{E4DF9D6B-1398-411C-9622-268C30462C8E}"/>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なんかすごい</a:t>
          </a:r>
        </a:p>
      </xdr:txBody>
    </xdr:sp>
    <xdr:clientData/>
  </xdr:twoCellAnchor>
  <xdr:twoCellAnchor editAs="oneCell">
    <xdr:from>
      <xdr:col>1</xdr:col>
      <xdr:colOff>137161</xdr:colOff>
      <xdr:row>1</xdr:row>
      <xdr:rowOff>199549</xdr:rowOff>
    </xdr:from>
    <xdr:to>
      <xdr:col>1</xdr:col>
      <xdr:colOff>1377316</xdr:colOff>
      <xdr:row>1</xdr:row>
      <xdr:rowOff>1439704</xdr:rowOff>
    </xdr:to>
    <xdr:pic>
      <xdr:nvPicPr>
        <xdr:cNvPr id="320" name="図 319">
          <a:extLst>
            <a:ext uri="{FF2B5EF4-FFF2-40B4-BE49-F238E27FC236}">
              <a16:creationId xmlns:a16="http://schemas.microsoft.com/office/drawing/2014/main" id="{97DC55DD-306B-40EF-86D1-F91A6849A46C}"/>
            </a:ext>
          </a:extLst>
        </xdr:cNvPr>
        <xdr:cNvPicPr>
          <a:picLocks noChangeAspect="1"/>
        </xdr:cNvPicPr>
      </xdr:nvPicPr>
      <xdr:blipFill>
        <a:blip xmlns:r="http://schemas.openxmlformats.org/officeDocument/2006/relationships" r:link="rId1"/>
        <a:srcRect l="23750" r="23750"/>
        <a:stretch>
          <a:fillRect/>
        </a:stretch>
      </xdr:blipFill>
      <xdr:spPr>
        <a:xfrm>
          <a:off x="822961"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21" name="テキスト ボックス 320">
          <a:extLst>
            <a:ext uri="{FF2B5EF4-FFF2-40B4-BE49-F238E27FC236}">
              <a16:creationId xmlns:a16="http://schemas.microsoft.com/office/drawing/2014/main" id="{A34C468F-1064-4EC2-8435-42C99F3AF17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ひろせさん</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22" name="テキスト ボックス 321">
          <a:extLst>
            <a:ext uri="{FF2B5EF4-FFF2-40B4-BE49-F238E27FC236}">
              <a16:creationId xmlns:a16="http://schemas.microsoft.com/office/drawing/2014/main" id="{B3D95780-A100-43CE-9266-B4D9FB577C81}"/>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やさしい</a:t>
          </a:r>
        </a:p>
      </xdr:txBody>
    </xdr:sp>
    <xdr:clientData/>
  </xdr:twoCellAnchor>
  <xdr:twoCellAnchor editAs="oneCell">
    <xdr:from>
      <xdr:col>1</xdr:col>
      <xdr:colOff>137160</xdr:colOff>
      <xdr:row>2</xdr:row>
      <xdr:rowOff>199548</xdr:rowOff>
    </xdr:from>
    <xdr:to>
      <xdr:col>1</xdr:col>
      <xdr:colOff>1377315</xdr:colOff>
      <xdr:row>2</xdr:row>
      <xdr:rowOff>1439703</xdr:rowOff>
    </xdr:to>
    <xdr:pic>
      <xdr:nvPicPr>
        <xdr:cNvPr id="324" name="図 323">
          <a:extLst>
            <a:ext uri="{FF2B5EF4-FFF2-40B4-BE49-F238E27FC236}">
              <a16:creationId xmlns:a16="http://schemas.microsoft.com/office/drawing/2014/main" id="{C6464029-5476-47D2-BA72-54B8D14F0416}"/>
            </a:ext>
          </a:extLst>
        </xdr:cNvPr>
        <xdr:cNvPicPr>
          <a:picLocks noChangeAspect="1"/>
        </xdr:cNvPicPr>
      </xdr:nvPicPr>
      <xdr:blipFill>
        <a:blip xmlns:r="http://schemas.openxmlformats.org/officeDocument/2006/relationships" r:link="rId2"/>
        <a:srcRect l="12553" r="12553"/>
        <a:stretch>
          <a:fillRect/>
        </a:stretch>
      </xdr:blipFill>
      <xdr:spPr>
        <a:xfrm>
          <a:off x="822960" y="4490561"/>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25" name="テキスト ボックス 324">
          <a:extLst>
            <a:ext uri="{FF2B5EF4-FFF2-40B4-BE49-F238E27FC236}">
              <a16:creationId xmlns:a16="http://schemas.microsoft.com/office/drawing/2014/main" id="{247B8F5C-6C75-4676-A6AD-E7DA961CC614}"/>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D1
</a:t>
          </a:r>
          <a:r>
            <a:rPr kumimoji="1" lang="ja-JP" altLang="en-US" sz="1800">
              <a:latin typeface="源ノ角ゴシック JP" panose="020B0500000000000000" pitchFamily="34" charset="-128"/>
            </a:rPr>
            <a:t>かとーさん</a:t>
          </a: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26" name="テキスト ボックス 325">
          <a:extLst>
            <a:ext uri="{FF2B5EF4-FFF2-40B4-BE49-F238E27FC236}">
              <a16:creationId xmlns:a16="http://schemas.microsoft.com/office/drawing/2014/main" id="{BEF639D8-9633-4CCF-9EDF-CCBFCB11F2BA}"/>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おもしろいよくしゃべる</a:t>
          </a:r>
        </a:p>
      </xdr:txBody>
    </xdr:sp>
    <xdr:clientData/>
  </xdr:twoCellAnchor>
  <xdr:twoCellAnchor editAs="oneCell">
    <xdr:from>
      <xdr:col>1</xdr:col>
      <xdr:colOff>137161</xdr:colOff>
      <xdr:row>3</xdr:row>
      <xdr:rowOff>199550</xdr:rowOff>
    </xdr:from>
    <xdr:to>
      <xdr:col>1</xdr:col>
      <xdr:colOff>1377316</xdr:colOff>
      <xdr:row>3</xdr:row>
      <xdr:rowOff>1439705</xdr:rowOff>
    </xdr:to>
    <xdr:pic>
      <xdr:nvPicPr>
        <xdr:cNvPr id="328" name="図 327">
          <a:extLst>
            <a:ext uri="{FF2B5EF4-FFF2-40B4-BE49-F238E27FC236}">
              <a16:creationId xmlns:a16="http://schemas.microsoft.com/office/drawing/2014/main" id="{7FAA26E2-5EEF-4A91-841C-77E85D531BAB}"/>
            </a:ext>
          </a:extLst>
        </xdr:cNvPr>
        <xdr:cNvPicPr>
          <a:picLocks noChangeAspect="1"/>
        </xdr:cNvPicPr>
      </xdr:nvPicPr>
      <xdr:blipFill>
        <a:blip xmlns:r="http://schemas.openxmlformats.org/officeDocument/2006/relationships" r:link="rId3"/>
        <a:srcRect l="12500" r="12500"/>
        <a:stretch>
          <a:fillRect/>
        </a:stretch>
      </xdr:blipFill>
      <xdr:spPr>
        <a:xfrm>
          <a:off x="822961" y="6486050"/>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29" name="テキスト ボックス 328">
          <a:extLst>
            <a:ext uri="{FF2B5EF4-FFF2-40B4-BE49-F238E27FC236}">
              <a16:creationId xmlns:a16="http://schemas.microsoft.com/office/drawing/2014/main" id="{6968B0BF-1CA8-4202-BBE5-035CE4252392}"/>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ふくいさん</a:t>
          </a: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30" name="テキスト ボックス 329">
          <a:extLst>
            <a:ext uri="{FF2B5EF4-FFF2-40B4-BE49-F238E27FC236}">
              <a16:creationId xmlns:a16="http://schemas.microsoft.com/office/drawing/2014/main" id="{F6CB4C2C-FAD0-45C4-A028-9CD8CB337BB8}"/>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みすたーパーフェクト</a:t>
          </a:r>
        </a:p>
      </xdr:txBody>
    </xdr:sp>
    <xdr:clientData/>
  </xdr:twoCellAnchor>
  <xdr:twoCellAnchor editAs="oneCell">
    <xdr:from>
      <xdr:col>1</xdr:col>
      <xdr:colOff>137161</xdr:colOff>
      <xdr:row>4</xdr:row>
      <xdr:rowOff>199549</xdr:rowOff>
    </xdr:from>
    <xdr:to>
      <xdr:col>1</xdr:col>
      <xdr:colOff>1377316</xdr:colOff>
      <xdr:row>4</xdr:row>
      <xdr:rowOff>1439704</xdr:rowOff>
    </xdr:to>
    <xdr:pic>
      <xdr:nvPicPr>
        <xdr:cNvPr id="332" name="図 331">
          <a:extLst>
            <a:ext uri="{FF2B5EF4-FFF2-40B4-BE49-F238E27FC236}">
              <a16:creationId xmlns:a16="http://schemas.microsoft.com/office/drawing/2014/main" id="{809B0CE8-991A-4F5E-8E94-6CA9CF948879}"/>
            </a:ext>
          </a:extLst>
        </xdr:cNvPr>
        <xdr:cNvPicPr>
          <a:picLocks noChangeAspect="1"/>
        </xdr:cNvPicPr>
      </xdr:nvPicPr>
      <xdr:blipFill>
        <a:blip xmlns:r="http://schemas.openxmlformats.org/officeDocument/2006/relationships" r:link="rId1"/>
        <a:srcRect l="23750" r="23750"/>
        <a:stretch>
          <a:fillRect/>
        </a:stretch>
      </xdr:blipFill>
      <xdr:spPr>
        <a:xfrm>
          <a:off x="822961"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333" name="テキスト ボックス 332">
          <a:extLst>
            <a:ext uri="{FF2B5EF4-FFF2-40B4-BE49-F238E27FC236}">
              <a16:creationId xmlns:a16="http://schemas.microsoft.com/office/drawing/2014/main" id="{DF15050E-E025-4CF9-AB8C-322AE9D6B49E}"/>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哲学か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みぞぐちさん</a:t>
          </a: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334" name="テキスト ボックス 333">
          <a:extLst>
            <a:ext uri="{FF2B5EF4-FFF2-40B4-BE49-F238E27FC236}">
              <a16:creationId xmlns:a16="http://schemas.microsoft.com/office/drawing/2014/main" id="{AF875A23-7C9D-44A0-8648-FBFADDAE6E3C}"/>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a:t>
          </a:r>
        </a:p>
      </xdr:txBody>
    </xdr:sp>
    <xdr:clientData/>
  </xdr:twoCellAnchor>
  <xdr:twoCellAnchor editAs="oneCell">
    <xdr:from>
      <xdr:col>1</xdr:col>
      <xdr:colOff>137160</xdr:colOff>
      <xdr:row>5</xdr:row>
      <xdr:rowOff>199549</xdr:rowOff>
    </xdr:from>
    <xdr:to>
      <xdr:col>1</xdr:col>
      <xdr:colOff>1377315</xdr:colOff>
      <xdr:row>5</xdr:row>
      <xdr:rowOff>1439704</xdr:rowOff>
    </xdr:to>
    <xdr:pic>
      <xdr:nvPicPr>
        <xdr:cNvPr id="336" name="図 335">
          <a:extLst>
            <a:ext uri="{FF2B5EF4-FFF2-40B4-BE49-F238E27FC236}">
              <a16:creationId xmlns:a16="http://schemas.microsoft.com/office/drawing/2014/main" id="{2E7C47A7-67AE-4A87-BE45-EFAA1F7ADE71}"/>
            </a:ext>
          </a:extLst>
        </xdr:cNvPr>
        <xdr:cNvPicPr>
          <a:picLocks noChangeAspect="1"/>
        </xdr:cNvPicPr>
      </xdr:nvPicPr>
      <xdr:blipFill>
        <a:blip xmlns:r="http://schemas.openxmlformats.org/officeDocument/2006/relationships" r:link="rId2"/>
        <a:srcRect l="12553" r="12553"/>
        <a:stretch>
          <a:fillRect/>
        </a:stretch>
      </xdr:blipFill>
      <xdr:spPr>
        <a:xfrm>
          <a:off x="822960"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337" name="テキスト ボックス 336">
          <a:extLst>
            <a:ext uri="{FF2B5EF4-FFF2-40B4-BE49-F238E27FC236}">
              <a16:creationId xmlns:a16="http://schemas.microsoft.com/office/drawing/2014/main" id="{F5BA758F-9805-4647-82EB-5982A537B6EF}"/>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しおたさん</a:t>
          </a: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338" name="テキスト ボックス 337">
          <a:extLst>
            <a:ext uri="{FF2B5EF4-FFF2-40B4-BE49-F238E27FC236}">
              <a16:creationId xmlns:a16="http://schemas.microsoft.com/office/drawing/2014/main" id="{C45380D8-5A37-465F-991A-DA3AC0F2648D}"/>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バイク通学</a:t>
          </a:r>
        </a:p>
      </xdr:txBody>
    </xdr:sp>
    <xdr:clientData/>
  </xdr:twoCellAnchor>
  <xdr:twoCellAnchor editAs="oneCell">
    <xdr:from>
      <xdr:col>1</xdr:col>
      <xdr:colOff>137161</xdr:colOff>
      <xdr:row>6</xdr:row>
      <xdr:rowOff>199549</xdr:rowOff>
    </xdr:from>
    <xdr:to>
      <xdr:col>1</xdr:col>
      <xdr:colOff>1377316</xdr:colOff>
      <xdr:row>6</xdr:row>
      <xdr:rowOff>1439704</xdr:rowOff>
    </xdr:to>
    <xdr:pic>
      <xdr:nvPicPr>
        <xdr:cNvPr id="340" name="図 339">
          <a:extLst>
            <a:ext uri="{FF2B5EF4-FFF2-40B4-BE49-F238E27FC236}">
              <a16:creationId xmlns:a16="http://schemas.microsoft.com/office/drawing/2014/main" id="{FAF4871E-BDB9-445D-8061-2759785FB8EC}"/>
            </a:ext>
          </a:extLst>
        </xdr:cNvPr>
        <xdr:cNvPicPr>
          <a:picLocks noChangeAspect="1"/>
        </xdr:cNvPicPr>
      </xdr:nvPicPr>
      <xdr:blipFill>
        <a:blip xmlns:r="http://schemas.openxmlformats.org/officeDocument/2006/relationships" r:link="rId1"/>
        <a:srcRect l="23750" r="23750"/>
        <a:stretch>
          <a:fillRect/>
        </a:stretch>
      </xdr:blipFill>
      <xdr:spPr>
        <a:xfrm>
          <a:off x="822961" y="12472512"/>
          <a:ext cx="1240155" cy="1240155"/>
        </a:xfrm>
        <a:prstGeom prst="ellipse">
          <a:avLst/>
        </a:prstGeom>
      </xdr:spPr>
    </xdr:pic>
    <xdr:clientData/>
  </xdr:twoCellAnchor>
  <xdr:twoCellAnchor>
    <xdr:from>
      <xdr:col>1</xdr:col>
      <xdr:colOff>1550194</xdr:colOff>
      <xdr:row>7</xdr:row>
      <xdr:rowOff>199549</xdr:rowOff>
    </xdr:from>
    <xdr:to>
      <xdr:col>2</xdr:col>
      <xdr:colOff>0</xdr:colOff>
      <xdr:row>7</xdr:row>
      <xdr:rowOff>1696165</xdr:rowOff>
    </xdr:to>
    <xdr:sp macro="" textlink="">
      <xdr:nvSpPr>
        <xdr:cNvPr id="341" name="テキスト ボックス 340">
          <a:extLst>
            <a:ext uri="{FF2B5EF4-FFF2-40B4-BE49-F238E27FC236}">
              <a16:creationId xmlns:a16="http://schemas.microsoft.com/office/drawing/2014/main" id="{312BEF93-FBA0-45AB-BC04-B1C1FB3391EE}"/>
            </a:ext>
          </a:extLst>
        </xdr:cNvPr>
        <xdr:cNvSpPr txBox="1"/>
      </xdr:nvSpPr>
      <xdr:spPr>
        <a:xfrm>
          <a:off x="2235994" y="1446799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ふめい
ふめい
いながきさん</a:t>
          </a:r>
        </a:p>
      </xdr:txBody>
    </xdr:sp>
    <xdr:clientData/>
  </xdr:twoCellAnchor>
  <xdr:twoCellAnchor>
    <xdr:from>
      <xdr:col>1</xdr:col>
      <xdr:colOff>0</xdr:colOff>
      <xdr:row>7</xdr:row>
      <xdr:rowOff>1496616</xdr:rowOff>
    </xdr:from>
    <xdr:to>
      <xdr:col>2</xdr:col>
      <xdr:colOff>0</xdr:colOff>
      <xdr:row>8</xdr:row>
      <xdr:rowOff>0</xdr:rowOff>
    </xdr:to>
    <xdr:sp macro="" textlink="">
      <xdr:nvSpPr>
        <xdr:cNvPr id="342" name="テキスト ボックス 341">
          <a:extLst>
            <a:ext uri="{FF2B5EF4-FFF2-40B4-BE49-F238E27FC236}">
              <a16:creationId xmlns:a16="http://schemas.microsoft.com/office/drawing/2014/main" id="{802C14EB-2445-4823-9F83-56FF911C024C}"/>
            </a:ext>
          </a:extLst>
        </xdr:cNvPr>
        <xdr:cNvSpPr txBox="1"/>
      </xdr:nvSpPr>
      <xdr:spPr>
        <a:xfrm>
          <a:off x="685800" y="1576506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あったことない</a:t>
          </a:r>
        </a:p>
      </xdr:txBody>
    </xdr:sp>
    <xdr:clientData/>
  </xdr:twoCellAnchor>
  <xdr:twoCellAnchor editAs="oneCell">
    <xdr:from>
      <xdr:col>1</xdr:col>
      <xdr:colOff>137160</xdr:colOff>
      <xdr:row>7</xdr:row>
      <xdr:rowOff>199549</xdr:rowOff>
    </xdr:from>
    <xdr:to>
      <xdr:col>1</xdr:col>
      <xdr:colOff>1377315</xdr:colOff>
      <xdr:row>7</xdr:row>
      <xdr:rowOff>1439704</xdr:rowOff>
    </xdr:to>
    <xdr:pic>
      <xdr:nvPicPr>
        <xdr:cNvPr id="344" name="図 343">
          <a:extLst>
            <a:ext uri="{FF2B5EF4-FFF2-40B4-BE49-F238E27FC236}">
              <a16:creationId xmlns:a16="http://schemas.microsoft.com/office/drawing/2014/main" id="{523624A5-0CD8-4314-8794-D1C8B687D710}"/>
            </a:ext>
          </a:extLst>
        </xdr:cNvPr>
        <xdr:cNvPicPr>
          <a:picLocks noChangeAspect="1"/>
        </xdr:cNvPicPr>
      </xdr:nvPicPr>
      <xdr:blipFill>
        <a:blip xmlns:r="http://schemas.openxmlformats.org/officeDocument/2006/relationships" r:link="rId2"/>
        <a:srcRect l="12553" r="12553"/>
        <a:stretch>
          <a:fillRect/>
        </a:stretch>
      </xdr:blipFill>
      <xdr:spPr>
        <a:xfrm>
          <a:off x="822960" y="14467999"/>
          <a:ext cx="1240155" cy="1240155"/>
        </a:xfrm>
        <a:prstGeom prst="ellipse">
          <a:avLst/>
        </a:prstGeom>
      </xdr:spPr>
    </xdr:pic>
    <xdr:clientData/>
  </xdr:twoCellAnchor>
  <xdr:twoCellAnchor>
    <xdr:from>
      <xdr:col>1</xdr:col>
      <xdr:colOff>1550194</xdr:colOff>
      <xdr:row>8</xdr:row>
      <xdr:rowOff>199549</xdr:rowOff>
    </xdr:from>
    <xdr:to>
      <xdr:col>2</xdr:col>
      <xdr:colOff>0</xdr:colOff>
      <xdr:row>8</xdr:row>
      <xdr:rowOff>1696165</xdr:rowOff>
    </xdr:to>
    <xdr:sp macro="" textlink="">
      <xdr:nvSpPr>
        <xdr:cNvPr id="345" name="テキスト ボックス 344">
          <a:extLst>
            <a:ext uri="{FF2B5EF4-FFF2-40B4-BE49-F238E27FC236}">
              <a16:creationId xmlns:a16="http://schemas.microsoft.com/office/drawing/2014/main" id="{D5E8505A-3447-47DE-B839-01FC16C97935}"/>
            </a:ext>
          </a:extLst>
        </xdr:cNvPr>
        <xdr:cNvSpPr txBox="1"/>
      </xdr:nvSpPr>
      <xdr:spPr>
        <a:xfrm>
          <a:off x="2235994" y="1646348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社会学科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とうさん</a:t>
          </a:r>
        </a:p>
      </xdr:txBody>
    </xdr:sp>
    <xdr:clientData/>
  </xdr:twoCellAnchor>
  <xdr:twoCellAnchor>
    <xdr:from>
      <xdr:col>1</xdr:col>
      <xdr:colOff>0</xdr:colOff>
      <xdr:row>8</xdr:row>
      <xdr:rowOff>1496615</xdr:rowOff>
    </xdr:from>
    <xdr:to>
      <xdr:col>2</xdr:col>
      <xdr:colOff>0</xdr:colOff>
      <xdr:row>9</xdr:row>
      <xdr:rowOff>0</xdr:rowOff>
    </xdr:to>
    <xdr:sp macro="" textlink="">
      <xdr:nvSpPr>
        <xdr:cNvPr id="346" name="テキスト ボックス 345">
          <a:extLst>
            <a:ext uri="{FF2B5EF4-FFF2-40B4-BE49-F238E27FC236}">
              <a16:creationId xmlns:a16="http://schemas.microsoft.com/office/drawing/2014/main" id="{6B906605-FC1E-4B12-AF66-8091A0F1EBF4}"/>
            </a:ext>
          </a:extLst>
        </xdr:cNvPr>
        <xdr:cNvSpPr txBox="1"/>
      </xdr:nvSpPr>
      <xdr:spPr>
        <a:xfrm>
          <a:off x="685800" y="1776055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つよい</a:t>
          </a:r>
        </a:p>
      </xdr:txBody>
    </xdr:sp>
    <xdr:clientData/>
  </xdr:twoCellAnchor>
  <xdr:twoCellAnchor editAs="oneCell">
    <xdr:from>
      <xdr:col>1</xdr:col>
      <xdr:colOff>137160</xdr:colOff>
      <xdr:row>8</xdr:row>
      <xdr:rowOff>199549</xdr:rowOff>
    </xdr:from>
    <xdr:to>
      <xdr:col>1</xdr:col>
      <xdr:colOff>1377315</xdr:colOff>
      <xdr:row>8</xdr:row>
      <xdr:rowOff>1439704</xdr:rowOff>
    </xdr:to>
    <xdr:pic>
      <xdr:nvPicPr>
        <xdr:cNvPr id="348" name="図 347">
          <a:extLst>
            <a:ext uri="{FF2B5EF4-FFF2-40B4-BE49-F238E27FC236}">
              <a16:creationId xmlns:a16="http://schemas.microsoft.com/office/drawing/2014/main" id="{305756A8-50DD-444A-9D54-34F59D8B9219}"/>
            </a:ext>
          </a:extLst>
        </xdr:cNvPr>
        <xdr:cNvPicPr>
          <a:picLocks noChangeAspect="1"/>
        </xdr:cNvPicPr>
      </xdr:nvPicPr>
      <xdr:blipFill>
        <a:blip xmlns:r="http://schemas.openxmlformats.org/officeDocument/2006/relationships" r:link="rId2"/>
        <a:srcRect l="12553" r="12553"/>
        <a:stretch>
          <a:fillRect/>
        </a:stretch>
      </xdr:blipFill>
      <xdr:spPr>
        <a:xfrm>
          <a:off x="822960" y="16463487"/>
          <a:ext cx="1240155" cy="1240155"/>
        </a:xfrm>
        <a:prstGeom prst="ellipse">
          <a:avLst/>
        </a:prstGeom>
      </xdr:spPr>
    </xdr:pic>
    <xdr:clientData/>
  </xdr:twoCellAnchor>
  <xdr:twoCellAnchor>
    <xdr:from>
      <xdr:col>1</xdr:col>
      <xdr:colOff>1550194</xdr:colOff>
      <xdr:row>9</xdr:row>
      <xdr:rowOff>199549</xdr:rowOff>
    </xdr:from>
    <xdr:to>
      <xdr:col>2</xdr:col>
      <xdr:colOff>0</xdr:colOff>
      <xdr:row>9</xdr:row>
      <xdr:rowOff>1696165</xdr:rowOff>
    </xdr:to>
    <xdr:sp macro="" textlink="">
      <xdr:nvSpPr>
        <xdr:cNvPr id="349" name="テキスト ボックス 348">
          <a:extLst>
            <a:ext uri="{FF2B5EF4-FFF2-40B4-BE49-F238E27FC236}">
              <a16:creationId xmlns:a16="http://schemas.microsoft.com/office/drawing/2014/main" id="{423B194B-C514-4535-B887-063A44FC3FDA}"/>
            </a:ext>
          </a:extLst>
        </xdr:cNvPr>
        <xdr:cNvSpPr txBox="1"/>
      </xdr:nvSpPr>
      <xdr:spPr>
        <a:xfrm>
          <a:off x="2235994" y="184589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体育学科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しょうさん</a:t>
          </a:r>
        </a:p>
      </xdr:txBody>
    </xdr:sp>
    <xdr:clientData/>
  </xdr:twoCellAnchor>
  <xdr:twoCellAnchor>
    <xdr:from>
      <xdr:col>1</xdr:col>
      <xdr:colOff>0</xdr:colOff>
      <xdr:row>9</xdr:row>
      <xdr:rowOff>1496616</xdr:rowOff>
    </xdr:from>
    <xdr:to>
      <xdr:col>2</xdr:col>
      <xdr:colOff>0</xdr:colOff>
      <xdr:row>10</xdr:row>
      <xdr:rowOff>0</xdr:rowOff>
    </xdr:to>
    <xdr:sp macro="" textlink="">
      <xdr:nvSpPr>
        <xdr:cNvPr id="350" name="テキスト ボックス 349">
          <a:extLst>
            <a:ext uri="{FF2B5EF4-FFF2-40B4-BE49-F238E27FC236}">
              <a16:creationId xmlns:a16="http://schemas.microsoft.com/office/drawing/2014/main" id="{2B109EC1-705E-4CE7-8E28-30D472AA57D5}"/>
            </a:ext>
          </a:extLst>
        </xdr:cNvPr>
        <xdr:cNvSpPr txBox="1"/>
      </xdr:nvSpPr>
      <xdr:spPr>
        <a:xfrm>
          <a:off x="685800" y="197560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身長が高い</a:t>
          </a:r>
        </a:p>
      </xdr:txBody>
    </xdr:sp>
    <xdr:clientData/>
  </xdr:twoCellAnchor>
  <xdr:twoCellAnchor editAs="oneCell">
    <xdr:from>
      <xdr:col>1</xdr:col>
      <xdr:colOff>137160</xdr:colOff>
      <xdr:row>9</xdr:row>
      <xdr:rowOff>199549</xdr:rowOff>
    </xdr:from>
    <xdr:to>
      <xdr:col>1</xdr:col>
      <xdr:colOff>1377315</xdr:colOff>
      <xdr:row>9</xdr:row>
      <xdr:rowOff>1439704</xdr:rowOff>
    </xdr:to>
    <xdr:pic>
      <xdr:nvPicPr>
        <xdr:cNvPr id="352" name="図 351">
          <a:extLst>
            <a:ext uri="{FF2B5EF4-FFF2-40B4-BE49-F238E27FC236}">
              <a16:creationId xmlns:a16="http://schemas.microsoft.com/office/drawing/2014/main" id="{4C73E57B-F4E0-4C8E-862F-EDBCAF8A5526}"/>
            </a:ext>
          </a:extLst>
        </xdr:cNvPr>
        <xdr:cNvPicPr>
          <a:picLocks noChangeAspect="1"/>
        </xdr:cNvPicPr>
      </xdr:nvPicPr>
      <xdr:blipFill>
        <a:blip xmlns:r="http://schemas.openxmlformats.org/officeDocument/2006/relationships" r:link="rId2"/>
        <a:srcRect l="12553" r="12553"/>
        <a:stretch>
          <a:fillRect/>
        </a:stretch>
      </xdr:blipFill>
      <xdr:spPr>
        <a:xfrm>
          <a:off x="822960" y="18458974"/>
          <a:ext cx="1240155" cy="1240155"/>
        </a:xfrm>
        <a:prstGeom prst="ellipse">
          <a:avLst/>
        </a:prstGeom>
      </xdr:spPr>
    </xdr:pic>
    <xdr:clientData/>
  </xdr:twoCellAnchor>
  <xdr:twoCellAnchor>
    <xdr:from>
      <xdr:col>1</xdr:col>
      <xdr:colOff>1550194</xdr:colOff>
      <xdr:row>10</xdr:row>
      <xdr:rowOff>199549</xdr:rowOff>
    </xdr:from>
    <xdr:to>
      <xdr:col>2</xdr:col>
      <xdr:colOff>0</xdr:colOff>
      <xdr:row>10</xdr:row>
      <xdr:rowOff>1696165</xdr:rowOff>
    </xdr:to>
    <xdr:sp macro="" textlink="">
      <xdr:nvSpPr>
        <xdr:cNvPr id="353" name="テキスト ボックス 352">
          <a:extLst>
            <a:ext uri="{FF2B5EF4-FFF2-40B4-BE49-F238E27FC236}">
              <a16:creationId xmlns:a16="http://schemas.microsoft.com/office/drawing/2014/main" id="{AB1DBBFD-5FE9-4DF0-B9FE-9E7968AFF6B9}"/>
            </a:ext>
          </a:extLst>
        </xdr:cNvPr>
        <xdr:cNvSpPr txBox="1"/>
      </xdr:nvSpPr>
      <xdr:spPr>
        <a:xfrm>
          <a:off x="2235994" y="2045446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心理学科
ふめい
かまたさん</a:t>
          </a:r>
        </a:p>
      </xdr:txBody>
    </xdr:sp>
    <xdr:clientData/>
  </xdr:twoCellAnchor>
  <xdr:twoCellAnchor>
    <xdr:from>
      <xdr:col>1</xdr:col>
      <xdr:colOff>0</xdr:colOff>
      <xdr:row>10</xdr:row>
      <xdr:rowOff>1496615</xdr:rowOff>
    </xdr:from>
    <xdr:to>
      <xdr:col>2</xdr:col>
      <xdr:colOff>0</xdr:colOff>
      <xdr:row>11</xdr:row>
      <xdr:rowOff>0</xdr:rowOff>
    </xdr:to>
    <xdr:sp macro="" textlink="">
      <xdr:nvSpPr>
        <xdr:cNvPr id="354" name="テキスト ボックス 353">
          <a:extLst>
            <a:ext uri="{FF2B5EF4-FFF2-40B4-BE49-F238E27FC236}">
              <a16:creationId xmlns:a16="http://schemas.microsoft.com/office/drawing/2014/main" id="{C2A3BE70-0569-43B1-B72D-3EEA22E6742C}"/>
            </a:ext>
          </a:extLst>
        </xdr:cNvPr>
        <xdr:cNvSpPr txBox="1"/>
      </xdr:nvSpPr>
      <xdr:spPr>
        <a:xfrm>
          <a:off x="685800" y="217515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すごい</a:t>
          </a:r>
        </a:p>
      </xdr:txBody>
    </xdr:sp>
    <xdr:clientData/>
  </xdr:twoCellAnchor>
  <xdr:twoCellAnchor editAs="oneCell">
    <xdr:from>
      <xdr:col>1</xdr:col>
      <xdr:colOff>137161</xdr:colOff>
      <xdr:row>10</xdr:row>
      <xdr:rowOff>199550</xdr:rowOff>
    </xdr:from>
    <xdr:to>
      <xdr:col>1</xdr:col>
      <xdr:colOff>1377316</xdr:colOff>
      <xdr:row>10</xdr:row>
      <xdr:rowOff>1439705</xdr:rowOff>
    </xdr:to>
    <xdr:pic>
      <xdr:nvPicPr>
        <xdr:cNvPr id="356" name="図 355">
          <a:extLst>
            <a:ext uri="{FF2B5EF4-FFF2-40B4-BE49-F238E27FC236}">
              <a16:creationId xmlns:a16="http://schemas.microsoft.com/office/drawing/2014/main" id="{BB5B8CDC-B6DE-472B-826A-85E045C9BA59}"/>
            </a:ext>
          </a:extLst>
        </xdr:cNvPr>
        <xdr:cNvPicPr>
          <a:picLocks noChangeAspect="1"/>
        </xdr:cNvPicPr>
      </xdr:nvPicPr>
      <xdr:blipFill>
        <a:blip xmlns:r="http://schemas.openxmlformats.org/officeDocument/2006/relationships" r:link="rId3"/>
        <a:srcRect l="12500" r="12500"/>
        <a:stretch>
          <a:fillRect/>
        </a:stretch>
      </xdr:blipFill>
      <xdr:spPr>
        <a:xfrm>
          <a:off x="822961" y="20454463"/>
          <a:ext cx="1240155" cy="1240155"/>
        </a:xfrm>
        <a:prstGeom prst="ellipse">
          <a:avLst/>
        </a:prstGeom>
      </xdr:spPr>
    </xdr:pic>
    <xdr:clientData/>
  </xdr:twoCellAnchor>
  <xdr:twoCellAnchor>
    <xdr:from>
      <xdr:col>1</xdr:col>
      <xdr:colOff>1550194</xdr:colOff>
      <xdr:row>11</xdr:row>
      <xdr:rowOff>199549</xdr:rowOff>
    </xdr:from>
    <xdr:to>
      <xdr:col>2</xdr:col>
      <xdr:colOff>0</xdr:colOff>
      <xdr:row>11</xdr:row>
      <xdr:rowOff>1696165</xdr:rowOff>
    </xdr:to>
    <xdr:sp macro="" textlink="">
      <xdr:nvSpPr>
        <xdr:cNvPr id="357" name="テキスト ボックス 356">
          <a:extLst>
            <a:ext uri="{FF2B5EF4-FFF2-40B4-BE49-F238E27FC236}">
              <a16:creationId xmlns:a16="http://schemas.microsoft.com/office/drawing/2014/main" id="{7E02FA3C-AB5F-41DD-A0DD-37EB75214BD0}"/>
            </a:ext>
          </a:extLst>
        </xdr:cNvPr>
        <xdr:cNvSpPr txBox="1"/>
      </xdr:nvSpPr>
      <xdr:spPr>
        <a:xfrm>
          <a:off x="2235994" y="224499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地球何とか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こばやしさん</a:t>
          </a:r>
        </a:p>
      </xdr:txBody>
    </xdr:sp>
    <xdr:clientData/>
  </xdr:twoCellAnchor>
  <xdr:twoCellAnchor>
    <xdr:from>
      <xdr:col>1</xdr:col>
      <xdr:colOff>0</xdr:colOff>
      <xdr:row>11</xdr:row>
      <xdr:rowOff>1496616</xdr:rowOff>
    </xdr:from>
    <xdr:to>
      <xdr:col>2</xdr:col>
      <xdr:colOff>0</xdr:colOff>
      <xdr:row>12</xdr:row>
      <xdr:rowOff>0</xdr:rowOff>
    </xdr:to>
    <xdr:sp macro="" textlink="">
      <xdr:nvSpPr>
        <xdr:cNvPr id="358" name="テキスト ボックス 357">
          <a:extLst>
            <a:ext uri="{FF2B5EF4-FFF2-40B4-BE49-F238E27FC236}">
              <a16:creationId xmlns:a16="http://schemas.microsoft.com/office/drawing/2014/main" id="{287E8C2F-7AB7-4939-AA2D-B1A4BD32ECDD}"/>
            </a:ext>
          </a:extLst>
        </xdr:cNvPr>
        <xdr:cNvSpPr txBox="1"/>
      </xdr:nvSpPr>
      <xdr:spPr>
        <a:xfrm>
          <a:off x="685800" y="237470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ノーコメント</a:t>
          </a:r>
        </a:p>
      </xdr:txBody>
    </xdr:sp>
    <xdr:clientData/>
  </xdr:twoCellAnchor>
  <xdr:twoCellAnchor editAs="oneCell">
    <xdr:from>
      <xdr:col>1</xdr:col>
      <xdr:colOff>137161</xdr:colOff>
      <xdr:row>11</xdr:row>
      <xdr:rowOff>199549</xdr:rowOff>
    </xdr:from>
    <xdr:to>
      <xdr:col>1</xdr:col>
      <xdr:colOff>1377316</xdr:colOff>
      <xdr:row>11</xdr:row>
      <xdr:rowOff>1439704</xdr:rowOff>
    </xdr:to>
    <xdr:pic>
      <xdr:nvPicPr>
        <xdr:cNvPr id="360" name="図 359">
          <a:extLst>
            <a:ext uri="{FF2B5EF4-FFF2-40B4-BE49-F238E27FC236}">
              <a16:creationId xmlns:a16="http://schemas.microsoft.com/office/drawing/2014/main" id="{A5B96572-A066-4768-940B-171F78D37A58}"/>
            </a:ext>
          </a:extLst>
        </xdr:cNvPr>
        <xdr:cNvPicPr>
          <a:picLocks noChangeAspect="1"/>
        </xdr:cNvPicPr>
      </xdr:nvPicPr>
      <xdr:blipFill>
        <a:blip xmlns:r="http://schemas.openxmlformats.org/officeDocument/2006/relationships" r:link="rId1"/>
        <a:srcRect l="23750" r="23750"/>
        <a:stretch>
          <a:fillRect/>
        </a:stretch>
      </xdr:blipFill>
      <xdr:spPr>
        <a:xfrm>
          <a:off x="822961" y="22449949"/>
          <a:ext cx="1240155" cy="1240155"/>
        </a:xfrm>
        <a:prstGeom prst="ellipse">
          <a:avLst/>
        </a:prstGeom>
      </xdr:spPr>
    </xdr:pic>
    <xdr:clientData/>
  </xdr:twoCellAnchor>
  <xdr:twoCellAnchor>
    <xdr:from>
      <xdr:col>1</xdr:col>
      <xdr:colOff>1550194</xdr:colOff>
      <xdr:row>12</xdr:row>
      <xdr:rowOff>199549</xdr:rowOff>
    </xdr:from>
    <xdr:to>
      <xdr:col>2</xdr:col>
      <xdr:colOff>0</xdr:colOff>
      <xdr:row>12</xdr:row>
      <xdr:rowOff>1696165</xdr:rowOff>
    </xdr:to>
    <xdr:sp macro="" textlink="">
      <xdr:nvSpPr>
        <xdr:cNvPr id="361" name="テキスト ボックス 360">
          <a:extLst>
            <a:ext uri="{FF2B5EF4-FFF2-40B4-BE49-F238E27FC236}">
              <a16:creationId xmlns:a16="http://schemas.microsoft.com/office/drawing/2014/main" id="{520805CE-50D5-4BD2-A017-8A373692FA94}"/>
            </a:ext>
          </a:extLst>
        </xdr:cNvPr>
        <xdr:cNvSpPr txBox="1"/>
      </xdr:nvSpPr>
      <xdr:spPr>
        <a:xfrm>
          <a:off x="2235994" y="244454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はらだ</a:t>
          </a:r>
        </a:p>
      </xdr:txBody>
    </xdr:sp>
    <xdr:clientData/>
  </xdr:twoCellAnchor>
  <xdr:twoCellAnchor>
    <xdr:from>
      <xdr:col>1</xdr:col>
      <xdr:colOff>0</xdr:colOff>
      <xdr:row>12</xdr:row>
      <xdr:rowOff>1496615</xdr:rowOff>
    </xdr:from>
    <xdr:to>
      <xdr:col>2</xdr:col>
      <xdr:colOff>0</xdr:colOff>
      <xdr:row>13</xdr:row>
      <xdr:rowOff>0</xdr:rowOff>
    </xdr:to>
    <xdr:sp macro="" textlink="">
      <xdr:nvSpPr>
        <xdr:cNvPr id="362" name="テキスト ボックス 361">
          <a:extLst>
            <a:ext uri="{FF2B5EF4-FFF2-40B4-BE49-F238E27FC236}">
              <a16:creationId xmlns:a16="http://schemas.microsoft.com/office/drawing/2014/main" id="{811F6FE8-E5B5-4D3A-A285-1DFAD4E0EC58}"/>
            </a:ext>
          </a:extLst>
        </xdr:cNvPr>
        <xdr:cNvSpPr txBox="1"/>
      </xdr:nvSpPr>
      <xdr:spPr>
        <a:xfrm>
          <a:off x="685800" y="257425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ねこ</a:t>
          </a:r>
        </a:p>
      </xdr:txBody>
    </xdr:sp>
    <xdr:clientData/>
  </xdr:twoCellAnchor>
  <xdr:twoCellAnchor editAs="oneCell">
    <xdr:from>
      <xdr:col>1</xdr:col>
      <xdr:colOff>137160</xdr:colOff>
      <xdr:row>12</xdr:row>
      <xdr:rowOff>199549</xdr:rowOff>
    </xdr:from>
    <xdr:to>
      <xdr:col>1</xdr:col>
      <xdr:colOff>1377315</xdr:colOff>
      <xdr:row>12</xdr:row>
      <xdr:rowOff>1439704</xdr:rowOff>
    </xdr:to>
    <xdr:pic>
      <xdr:nvPicPr>
        <xdr:cNvPr id="364" name="図 363">
          <a:extLst>
            <a:ext uri="{FF2B5EF4-FFF2-40B4-BE49-F238E27FC236}">
              <a16:creationId xmlns:a16="http://schemas.microsoft.com/office/drawing/2014/main" id="{C20E3BE3-5AC0-4738-87E2-D811978375D2}"/>
            </a:ext>
          </a:extLst>
        </xdr:cNvPr>
        <xdr:cNvPicPr>
          <a:picLocks noChangeAspect="1"/>
        </xdr:cNvPicPr>
      </xdr:nvPicPr>
      <xdr:blipFill>
        <a:blip xmlns:r="http://schemas.openxmlformats.org/officeDocument/2006/relationships" r:link="rId2"/>
        <a:srcRect l="12553" r="12553"/>
        <a:stretch>
          <a:fillRect/>
        </a:stretch>
      </xdr:blipFill>
      <xdr:spPr>
        <a:xfrm>
          <a:off x="822960" y="24445437"/>
          <a:ext cx="1240155" cy="1240155"/>
        </a:xfrm>
        <a:prstGeom prst="ellipse">
          <a:avLst/>
        </a:prstGeom>
      </xdr:spPr>
    </xdr:pic>
    <xdr:clientData/>
  </xdr:twoCellAnchor>
  <xdr:twoCellAnchor>
    <xdr:from>
      <xdr:col>1</xdr:col>
      <xdr:colOff>1550194</xdr:colOff>
      <xdr:row>13</xdr:row>
      <xdr:rowOff>199548</xdr:rowOff>
    </xdr:from>
    <xdr:to>
      <xdr:col>2</xdr:col>
      <xdr:colOff>0</xdr:colOff>
      <xdr:row>13</xdr:row>
      <xdr:rowOff>1696164</xdr:rowOff>
    </xdr:to>
    <xdr:sp macro="" textlink="">
      <xdr:nvSpPr>
        <xdr:cNvPr id="365" name="テキスト ボックス 364">
          <a:extLst>
            <a:ext uri="{FF2B5EF4-FFF2-40B4-BE49-F238E27FC236}">
              <a16:creationId xmlns:a16="http://schemas.microsoft.com/office/drawing/2014/main" id="{FD8545F8-8FBD-4F1A-8B24-AA94AE1561D1}"/>
            </a:ext>
          </a:extLst>
        </xdr:cNvPr>
        <xdr:cNvSpPr txBox="1"/>
      </xdr:nvSpPr>
      <xdr:spPr>
        <a:xfrm>
          <a:off x="2235994" y="26440923"/>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さかぐちさん</a:t>
          </a:r>
        </a:p>
      </xdr:txBody>
    </xdr:sp>
    <xdr:clientData/>
  </xdr:twoCellAnchor>
  <xdr:twoCellAnchor>
    <xdr:from>
      <xdr:col>1</xdr:col>
      <xdr:colOff>0</xdr:colOff>
      <xdr:row>13</xdr:row>
      <xdr:rowOff>1496616</xdr:rowOff>
    </xdr:from>
    <xdr:to>
      <xdr:col>2</xdr:col>
      <xdr:colOff>0</xdr:colOff>
      <xdr:row>14</xdr:row>
      <xdr:rowOff>0</xdr:rowOff>
    </xdr:to>
    <xdr:sp macro="" textlink="">
      <xdr:nvSpPr>
        <xdr:cNvPr id="366" name="テキスト ボックス 365">
          <a:extLst>
            <a:ext uri="{FF2B5EF4-FFF2-40B4-BE49-F238E27FC236}">
              <a16:creationId xmlns:a16="http://schemas.microsoft.com/office/drawing/2014/main" id="{E43B13B9-6DF5-488D-9453-55693DC81892}"/>
            </a:ext>
          </a:extLst>
        </xdr:cNvPr>
        <xdr:cNvSpPr txBox="1"/>
      </xdr:nvSpPr>
      <xdr:spPr>
        <a:xfrm>
          <a:off x="685800" y="277379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かわいい</a:t>
          </a:r>
        </a:p>
      </xdr:txBody>
    </xdr:sp>
    <xdr:clientData/>
  </xdr:twoCellAnchor>
  <xdr:twoCellAnchor editAs="oneCell">
    <xdr:from>
      <xdr:col>1</xdr:col>
      <xdr:colOff>137161</xdr:colOff>
      <xdr:row>13</xdr:row>
      <xdr:rowOff>199549</xdr:rowOff>
    </xdr:from>
    <xdr:to>
      <xdr:col>1</xdr:col>
      <xdr:colOff>1377316</xdr:colOff>
      <xdr:row>13</xdr:row>
      <xdr:rowOff>1439704</xdr:rowOff>
    </xdr:to>
    <xdr:pic>
      <xdr:nvPicPr>
        <xdr:cNvPr id="368" name="図 367">
          <a:extLst>
            <a:ext uri="{FF2B5EF4-FFF2-40B4-BE49-F238E27FC236}">
              <a16:creationId xmlns:a16="http://schemas.microsoft.com/office/drawing/2014/main" id="{EB2C4C1A-4AF2-4AE1-93E8-A4F54F9E81CE}"/>
            </a:ext>
          </a:extLst>
        </xdr:cNvPr>
        <xdr:cNvPicPr>
          <a:picLocks noChangeAspect="1"/>
        </xdr:cNvPicPr>
      </xdr:nvPicPr>
      <xdr:blipFill>
        <a:blip xmlns:r="http://schemas.openxmlformats.org/officeDocument/2006/relationships" r:link="rId3"/>
        <a:srcRect l="12500" r="12500"/>
        <a:stretch>
          <a:fillRect/>
        </a:stretch>
      </xdr:blipFill>
      <xdr:spPr>
        <a:xfrm>
          <a:off x="822961" y="26440924"/>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61913</xdr:rowOff>
        </xdr:from>
        <xdr:to>
          <xdr:col>11</xdr:col>
          <xdr:colOff>666750</xdr:colOff>
          <xdr:row>4</xdr:row>
          <xdr:rowOff>100013</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22B1C9B2-16CC-46B8-B422-CA5528BAA726}"/>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tabSelected="1" zoomScale="80" zoomScaleNormal="80" workbookViewId="0">
      <selection activeCell="O3" sqref="O3"/>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3.5" customWidth="1"/>
    <col min="13" max="13" width="13.25" customWidth="1"/>
    <col min="14" max="14" width="15.5" customWidth="1"/>
  </cols>
  <sheetData>
    <row r="1" spans="1:22" ht="22.9" customHeight="1" x14ac:dyDescent="0.7">
      <c r="B1" s="14"/>
      <c r="K1" s="17" t="s">
        <v>24</v>
      </c>
      <c r="L1" s="18" t="s">
        <v>23</v>
      </c>
      <c r="O1">
        <v>0</v>
      </c>
      <c r="P1">
        <v>0</v>
      </c>
      <c r="U1" t="s">
        <v>167</v>
      </c>
    </row>
    <row r="2" spans="1:22" ht="36.4" customHeight="1" x14ac:dyDescent="0.7">
      <c r="A2" s="20"/>
      <c r="B2" s="21"/>
      <c r="C2" s="20"/>
      <c r="D2" s="20"/>
      <c r="E2" s="22"/>
      <c r="F2" s="23" t="s">
        <v>13</v>
      </c>
      <c r="G2" s="22"/>
      <c r="H2" s="22"/>
      <c r="I2" s="22"/>
      <c r="K2" s="15">
        <f ca="1">TODAY()</f>
        <v>43728</v>
      </c>
      <c r="L2" s="16">
        <f ca="1">NOW()-INT(NOW())</f>
        <v>9.5876388892065734E-2</v>
      </c>
      <c r="N2" s="2"/>
      <c r="T2" t="s">
        <v>168</v>
      </c>
    </row>
    <row r="3" spans="1:22" ht="30" customHeight="1" x14ac:dyDescent="0.7">
      <c r="A3" s="20"/>
      <c r="B3" s="24"/>
      <c r="C3" s="25" t="s">
        <v>14</v>
      </c>
      <c r="D3" s="25" t="s">
        <v>15</v>
      </c>
      <c r="E3" s="25" t="s">
        <v>17</v>
      </c>
      <c r="F3" s="25" t="s">
        <v>16</v>
      </c>
      <c r="G3" s="25" t="s">
        <v>18</v>
      </c>
      <c r="H3" s="25" t="s">
        <v>19</v>
      </c>
      <c r="I3" s="25" t="s">
        <v>20</v>
      </c>
      <c r="K3" s="5"/>
      <c r="N3" s="4"/>
    </row>
    <row r="4" spans="1:22" ht="70.05" customHeight="1" x14ac:dyDescent="0.7">
      <c r="A4" s="20"/>
      <c r="B4" s="23">
        <v>1</v>
      </c>
      <c r="C4" s="27" t="str">
        <f ca="1">IF(ISNUMBER(IF(INDEX(生データ!$D:$D,MATCH(D22,生データ!$D:$D,1))=D22,VLOOKUP(D22,生データ!$D:$F,3,TRUE),)),"予約済"&amp;IF(VLOOKUP(D22,生データ!$D:$F,2,TRUE)=1,CHAR(10)&amp;"(貸出中)",""),"")</f>
        <v/>
      </c>
      <c r="D4" s="29" t="str">
        <f ca="1">IF(ISNUMBER(IF(INDEX(生データ!$D:$D,MATCH(E22,生データ!$D:$D,1))=E22,VLOOKUP(E22,生データ!$D:$F,3,TRUE),)),"予約済"&amp;IF(VLOOKUP(E22,生データ!$D:$F,2,TRUE)=1,CHAR(10)&amp;"(貸出中)",""),"")</f>
        <v>予約済
(貸出中)</v>
      </c>
      <c r="E4" s="27" t="str">
        <f ca="1">IF(ISNUMBER(IF(INDEX(生データ!$D:$D,MATCH(F22,生データ!$D:$D,1))=F22,VLOOKUP(F22,生データ!$D:$F,3,TRUE),)),"予約済"&amp;IF(VLOOKUP(F22,生データ!$D:$F,2,TRUE)=1,CHAR(10)&amp;"(貸出中)",""),"")</f>
        <v/>
      </c>
      <c r="F4" s="27" t="str">
        <f ca="1">IF(ISNUMBER(IF(INDEX(生データ!$D:$D,MATCH(G22,生データ!$D:$D,1))=G22,VLOOKUP(G22,生データ!$D:$F,3,TRUE),)),"予約済"&amp;IF(VLOOKUP(G22,生データ!$D:$F,2,TRUE)=1,CHAR(10)&amp;"(貸出中)",""),"")</f>
        <v/>
      </c>
      <c r="G4" s="27" t="str">
        <f ca="1">IF(ISNUMBER(IF(INDEX(生データ!$D:$D,MATCH(H22,生データ!$D:$D,1))=H22,VLOOKUP(H22,生データ!$D:$F,3,TRUE),)),"予約済"&amp;IF(VLOOKUP(H22,生データ!$D:$F,2,TRUE)=1,CHAR(10)&amp;"(貸出中)",""),"")</f>
        <v/>
      </c>
      <c r="H4" s="27" t="str">
        <f ca="1">IF(ISNUMBER(IF(INDEX(生データ!$D:$D,MATCH(I22,生データ!$D:$D,1))=I22,VLOOKUP(I22,生データ!$D:$F,3,TRUE),)),"予約済"&amp;IF(VLOOKUP(I22,生データ!$D:$F,2,TRUE)=1,CHAR(10)&amp;"(貸出中)",""),"")</f>
        <v/>
      </c>
      <c r="I4" s="27" t="str">
        <f ca="1">IF(ISNUMBER(IF(INDEX(生データ!$D:$D,MATCH(J22,生データ!$D:$D,1))=J22,VLOOKUP(J22,生データ!$D:$F,3,TRUE),)),"予約済"&amp;IF(VLOOKUP(J22,生データ!$D:$F,2,TRUE)=1,CHAR(10)&amp;"(貸出中)",""),"")</f>
        <v/>
      </c>
      <c r="K4" s="32"/>
      <c r="L4" s="32"/>
      <c r="M4" s="33"/>
      <c r="N4" s="33"/>
      <c r="T4" t="s">
        <v>165</v>
      </c>
    </row>
    <row r="5" spans="1:22" ht="70.05" customHeight="1" x14ac:dyDescent="0.7">
      <c r="A5" s="31" t="s">
        <v>12</v>
      </c>
      <c r="B5" s="23">
        <v>2</v>
      </c>
      <c r="C5" s="27" t="str">
        <f ca="1">IF(ISNUMBER(IF(INDEX(生データ!$D:$D,MATCH(D23,生データ!$D:$D,1))=D23,VLOOKUP(D23,生データ!$D:$F,3,TRUE),)),"予約済"&amp;IF(VLOOKUP(D23,生データ!$D:$F,2,TRUE)=1,CHAR(10)&amp;"(貸出中)",""),"")</f>
        <v/>
      </c>
      <c r="D5" s="27" t="str">
        <f ca="1">IF(ISNUMBER(IF(INDEX(生データ!$D:$D,MATCH(E23,生データ!$D:$D,1))=E23,VLOOKUP(E23,生データ!$D:$F,3,TRUE),)),"予約済"&amp;IF(VLOOKUP(E23,生データ!$D:$F,2,TRUE)=1,CHAR(10)&amp;"(貸出中)",""),"")</f>
        <v/>
      </c>
      <c r="E5" s="27" t="str">
        <f ca="1">IF(ISNUMBER(IF(INDEX(生データ!$D:$D,MATCH(F23,生データ!$D:$D,1))=F23,VLOOKUP(F23,生データ!$D:$F,3,TRUE),)),"予約済"&amp;IF(VLOOKUP(F23,生データ!$D:$F,2,TRUE)=1,CHAR(10)&amp;"(貸出中)",""),"")</f>
        <v/>
      </c>
      <c r="F5" s="27" t="str">
        <f ca="1">IF(ISNUMBER(IF(INDEX(生データ!$D:$D,MATCH(G23,生データ!$D:$D,1))=G23,VLOOKUP(G23,生データ!$D:$F,3,TRUE),)),"予約済"&amp;IF(VLOOKUP(G23,生データ!$D:$F,2,TRUE)=1,CHAR(10)&amp;"(貸出中)",""),"")</f>
        <v/>
      </c>
      <c r="G5" s="27" t="str">
        <f ca="1">IF(ISNUMBER(IF(INDEX(生データ!$D:$D,MATCH(H23,生データ!$D:$D,1))=H23,VLOOKUP(H23,生データ!$D:$F,3,TRUE),)),"予約済"&amp;IF(VLOOKUP(H23,生データ!$D:$F,2,TRUE)=1,CHAR(10)&amp;"(貸出中)",""),"")</f>
        <v/>
      </c>
      <c r="H5" s="28" t="str">
        <f ca="1">IF(ISNUMBER(IF(INDEX(生データ!$D:$D,MATCH(I23,生データ!$D:$D,1))=I23,VLOOKUP(I23,生データ!$D:$F,3,TRUE),)),"予約済"&amp;IF(VLOOKUP(I23,生データ!$D:$F,2,TRUE)=1,CHAR(10)&amp;"(貸出中)",""),"")</f>
        <v>予約済</v>
      </c>
      <c r="I5" s="27" t="str">
        <f ca="1">IF(ISNUMBER(IF(INDEX(生データ!$D:$D,MATCH(J23,生データ!$D:$D,1))=J23,VLOOKUP(J23,生データ!$D:$F,3,TRUE),)),"予約済"&amp;IF(VLOOKUP(J23,生データ!$D:$F,2,TRUE)=1,CHAR(10)&amp;"(貸出中)",""),"")</f>
        <v/>
      </c>
      <c r="K5" s="32"/>
      <c r="L5" s="32"/>
      <c r="M5" s="33"/>
      <c r="N5" s="33"/>
      <c r="T5" t="s">
        <v>166</v>
      </c>
    </row>
    <row r="6" spans="1:22" ht="70.05" customHeight="1" x14ac:dyDescent="0.7">
      <c r="A6" s="31"/>
      <c r="B6" s="23">
        <v>3</v>
      </c>
      <c r="C6" s="27" t="str">
        <f ca="1">IF(ISNUMBER(IF(INDEX(生データ!$D:$D,MATCH(D24,生データ!$D:$D,1))=D24,VLOOKUP(D24,生データ!$D:$F,3,TRUE),)),"予約済"&amp;IF(VLOOKUP(D24,生データ!$D:$F,2,TRUE)=1,CHAR(10)&amp;"(貸出中)",""),"")</f>
        <v/>
      </c>
      <c r="D6" s="27" t="str">
        <f ca="1">IF(ISNUMBER(IF(INDEX(生データ!$D:$D,MATCH(E24,生データ!$D:$D,1))=E24,VLOOKUP(E24,生データ!$D:$F,3,TRUE),)),"予約済"&amp;IF(VLOOKUP(E24,生データ!$D:$F,2,TRUE)=1,CHAR(10)&amp;"(貸出中)",""),"")</f>
        <v/>
      </c>
      <c r="E6" s="28" t="str">
        <f ca="1">IF(ISNUMBER(IF(INDEX(生データ!$D:$D,MATCH(F24,生データ!$D:$D,1))=F24,VLOOKUP(F24,生データ!$D:$F,3,TRUE),)),"予約済"&amp;IF(VLOOKUP(F24,生データ!$D:$F,2,TRUE)=1,CHAR(10)&amp;"(貸出中)",""),"")</f>
        <v>予約済</v>
      </c>
      <c r="F6" s="28" t="str">
        <f ca="1">IF(ISNUMBER(IF(INDEX(生データ!$D:$D,MATCH(G24,生データ!$D:$D,1))=G24,VLOOKUP(G24,生データ!$D:$F,3,TRUE),)),"予約済"&amp;IF(VLOOKUP(G24,生データ!$D:$F,2,TRUE)=1,CHAR(10)&amp;"(貸出中)",""),"")</f>
        <v>予約済</v>
      </c>
      <c r="G6" s="27" t="str">
        <f ca="1">IF(ISNUMBER(IF(INDEX(生データ!$D:$D,MATCH(H24,生データ!$D:$D,1))=H24,VLOOKUP(H24,生データ!$D:$F,3,TRUE),)),"予約済"&amp;IF(VLOOKUP(H24,生データ!$D:$F,2,TRUE)=1,CHAR(10)&amp;"(貸出中)",""),"")</f>
        <v/>
      </c>
      <c r="H6" s="27" t="str">
        <f ca="1">IF(ISNUMBER(IF(INDEX(生データ!$D:$D,MATCH(I24,生データ!$D:$D,1))=I24,VLOOKUP(I24,生データ!$D:$F,3,TRUE),)),"予約済"&amp;IF(VLOOKUP(I24,生データ!$D:$F,2,TRUE)=1,CHAR(10)&amp;"(貸出中)",""),"")</f>
        <v/>
      </c>
      <c r="I6" s="27" t="str">
        <f ca="1">IF(ISNUMBER(IF(INDEX(生データ!$D:$D,MATCH(J24,生データ!$D:$D,1))=J24,VLOOKUP(J24,生データ!$D:$F,3,TRUE),)),"予約済"&amp;IF(VLOOKUP(J24,生データ!$D:$F,2,TRUE)=1,CHAR(10)&amp;"(貸出中)",""),"")</f>
        <v/>
      </c>
      <c r="K6" s="34"/>
      <c r="L6" s="34"/>
    </row>
    <row r="7" spans="1:22" ht="70.05" customHeight="1" x14ac:dyDescent="0.7">
      <c r="A7" s="31"/>
      <c r="B7" s="23">
        <v>4</v>
      </c>
      <c r="C7" s="27" t="str">
        <f ca="1">IF(ISNUMBER(IF(INDEX(生データ!$D:$D,MATCH(D25,生データ!$D:$D,1))=D25,VLOOKUP(D25,生データ!$D:$F,3,TRUE),)),"予約済"&amp;IF(VLOOKUP(D25,生データ!$D:$F,2,TRUE)=1,CHAR(10)&amp;"(貸出中)",""),"")</f>
        <v/>
      </c>
      <c r="D7" s="28" t="str">
        <f ca="1">IF(ISNUMBER(IF(INDEX(生データ!$D:$D,MATCH(E25,生データ!$D:$D,1))=E25,VLOOKUP(E25,生データ!$D:$F,3,TRUE),)),"予約済"&amp;IF(VLOOKUP(E25,生データ!$D:$F,2,TRUE)=1,CHAR(10)&amp;"(貸出中)",""),"")</f>
        <v>予約済</v>
      </c>
      <c r="E7" s="27" t="str">
        <f ca="1">IF(ISNUMBER(IF(INDEX(生データ!$D:$D,MATCH(F25,生データ!$D:$D,1))=F25,VLOOKUP(F25,生データ!$D:$F,3,TRUE),)),"予約済"&amp;IF(VLOOKUP(F25,生データ!$D:$F,2,TRUE)=1,CHAR(10)&amp;"(貸出中)",""),"")</f>
        <v/>
      </c>
      <c r="F7" s="27" t="str">
        <f ca="1">IF(ISNUMBER(IF(INDEX(生データ!$D:$D,MATCH(G25,生データ!$D:$D,1))=G25,VLOOKUP(G25,生データ!$D:$F,3,TRUE),)),"予約済"&amp;IF(VLOOKUP(G25,生データ!$D:$F,2,TRUE)=1,CHAR(10)&amp;"(貸出中)",""),"")</f>
        <v/>
      </c>
      <c r="G7" s="27" t="str">
        <f ca="1">IF(ISNUMBER(IF(INDEX(生データ!$D:$D,MATCH(H25,生データ!$D:$D,1))=H25,VLOOKUP(H25,生データ!$D:$F,3,TRUE),)),"予約済"&amp;IF(VLOOKUP(H25,生データ!$D:$F,2,TRUE)=1,CHAR(10)&amp;"(貸出中)",""),"")</f>
        <v/>
      </c>
      <c r="H7" s="27" t="str">
        <f ca="1">IF(ISNUMBER(IF(INDEX(生データ!$D:$D,MATCH(I25,生データ!$D:$D,1))=I25,VLOOKUP(I25,生データ!$D:$F,3,TRUE),)),"予約済"&amp;IF(VLOOKUP(I25,生データ!$D:$F,2,TRUE)=1,CHAR(10)&amp;"(貸出中)",""),"")</f>
        <v/>
      </c>
      <c r="I7" s="27" t="str">
        <f ca="1">IF(ISNUMBER(IF(INDEX(生データ!$D:$D,MATCH(J25,生データ!$D:$D,1))=J25,VLOOKUP(J25,生データ!$D:$F,3,TRUE),)),"予約済"&amp;IF(VLOOKUP(J25,生データ!$D:$F,2,TRUE)=1,CHAR(10)&amp;"(貸出中)",""),"")</f>
        <v/>
      </c>
      <c r="K7" s="34"/>
      <c r="L7" s="34"/>
      <c r="V7" t="s">
        <v>169</v>
      </c>
    </row>
    <row r="8" spans="1:22" ht="70.05" customHeight="1" x14ac:dyDescent="0.7">
      <c r="A8" s="22"/>
      <c r="B8" s="23">
        <v>5</v>
      </c>
      <c r="C8" s="27" t="str">
        <f ca="1">IF(ISNUMBER(IF(INDEX(生データ!$D:$D,MATCH(D26,生データ!$D:$D,1))=D26,VLOOKUP(D26,生データ!$D:$F,3,TRUE),)),"予約済"&amp;IF(VLOOKUP(D26,生データ!$D:$F,2,TRUE)=1,CHAR(10)&amp;"(貸出中)",""),"")</f>
        <v/>
      </c>
      <c r="D8" s="27" t="str">
        <f ca="1">IF(ISNUMBER(IF(INDEX(生データ!$D:$D,MATCH(E26,生データ!$D:$D,1))=E26,VLOOKUP(E26,生データ!$D:$F,3,TRUE),)),"予約済"&amp;IF(VLOOKUP(E26,生データ!$D:$F,2,TRUE)=1,CHAR(10)&amp;"(貸出中)",""),"")</f>
        <v/>
      </c>
      <c r="E8" s="27" t="str">
        <f ca="1">IF(ISNUMBER(IF(INDEX(生データ!$D:$D,MATCH(F26,生データ!$D:$D,1))=F26,VLOOKUP(F26,生データ!$D:$F,3,TRUE),)),"予約済"&amp;IF(VLOOKUP(F26,生データ!$D:$F,2,TRUE)=1,CHAR(10)&amp;"(貸出中)",""),"")</f>
        <v/>
      </c>
      <c r="F8" s="27" t="str">
        <f ca="1">IF(ISNUMBER(IF(INDEX(生データ!$D:$D,MATCH(G26,生データ!$D:$D,1))=G26,VLOOKUP(G26,生データ!$D:$F,3,TRUE),)),"予約済"&amp;IF(VLOOKUP(G26,生データ!$D:$F,2,TRUE)=1,CHAR(10)&amp;"(貸出中)",""),"")</f>
        <v/>
      </c>
      <c r="G8" s="27" t="str">
        <f ca="1">IF(ISNUMBER(IF(INDEX(生データ!$D:$D,MATCH(H26,生データ!$D:$D,1))=H26,VLOOKUP(H26,生データ!$D:$F,3,TRUE),)),"予約済"&amp;IF(VLOOKUP(H26,生データ!$D:$F,2,TRUE)=1,CHAR(10)&amp;"(貸出中)",""),"")</f>
        <v/>
      </c>
      <c r="H8" s="27" t="str">
        <f ca="1">IF(ISNUMBER(IF(INDEX(生データ!$D:$D,MATCH(I26,生データ!$D:$D,1))=I26,VLOOKUP(I26,生データ!$D:$F,3,TRUE),)),"予約済"&amp;IF(VLOOKUP(I26,生データ!$D:$F,2,TRUE)=1,CHAR(10)&amp;"(貸出中)",""),"")</f>
        <v/>
      </c>
      <c r="I8" s="27" t="str">
        <f ca="1">IF(ISNUMBER(IF(INDEX(生データ!$D:$D,MATCH(J26,生データ!$D:$D,1))=J26,VLOOKUP(J26,生データ!$D:$F,3,TRUE),)),"予約済"&amp;IF(VLOOKUP(J26,生データ!$D:$F,2,TRUE)=1,CHAR(10)&amp;"(貸出中)",""),"")</f>
        <v/>
      </c>
    </row>
    <row r="10" spans="1:22" ht="30" customHeight="1" x14ac:dyDescent="0.7">
      <c r="C10" s="30" t="s">
        <v>170</v>
      </c>
    </row>
    <row r="11" spans="1:22" ht="30" customHeight="1" x14ac:dyDescent="0.7">
      <c r="C11" s="30" t="s">
        <v>171</v>
      </c>
    </row>
    <row r="12" spans="1:22" ht="58.9" customHeight="1" x14ac:dyDescent="0.7">
      <c r="H12" s="1"/>
    </row>
    <row r="13" spans="1:22" ht="41.65" customHeight="1" x14ac:dyDescent="0.7">
      <c r="H13" s="1"/>
    </row>
    <row r="14" spans="1:22" ht="58.9" customHeight="1" x14ac:dyDescent="0.7">
      <c r="H14" s="1"/>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20190920</v>
      </c>
      <c r="D21" s="3">
        <v>1</v>
      </c>
      <c r="E21">
        <v>2</v>
      </c>
      <c r="F21" s="3">
        <v>3</v>
      </c>
      <c r="G21" s="3">
        <v>4</v>
      </c>
      <c r="H21" s="3">
        <v>5</v>
      </c>
      <c r="I21" s="3">
        <v>6</v>
      </c>
      <c r="J21" s="3">
        <v>7</v>
      </c>
    </row>
    <row r="22" spans="3:10" hidden="1" x14ac:dyDescent="0.7">
      <c r="C22" s="3">
        <v>1</v>
      </c>
      <c r="D22" s="3">
        <f ca="1">$C$21*100+D$21*10+$C22</f>
        <v>2019092011</v>
      </c>
      <c r="E22" s="3">
        <f t="shared" ref="E22:J22" ca="1" si="0">$C$21*100+E$21*10+$C22</f>
        <v>2019092021</v>
      </c>
      <c r="F22" s="3">
        <f t="shared" ca="1" si="0"/>
        <v>2019092031</v>
      </c>
      <c r="G22" s="3">
        <f t="shared" ca="1" si="0"/>
        <v>2019092041</v>
      </c>
      <c r="H22" s="3">
        <f t="shared" ca="1" si="0"/>
        <v>2019092051</v>
      </c>
      <c r="I22" s="3">
        <f t="shared" ca="1" si="0"/>
        <v>2019092061</v>
      </c>
      <c r="J22" s="3">
        <f t="shared" ca="1" si="0"/>
        <v>2019092071</v>
      </c>
    </row>
    <row r="23" spans="3:10" hidden="1" x14ac:dyDescent="0.7">
      <c r="C23" s="3">
        <v>2</v>
      </c>
      <c r="D23" s="3">
        <f t="shared" ref="D23:J26" ca="1" si="1">$C$21*100+D$21*10+$C23</f>
        <v>2019092012</v>
      </c>
      <c r="E23" s="3">
        <f t="shared" ca="1" si="1"/>
        <v>2019092022</v>
      </c>
      <c r="F23" s="3">
        <f t="shared" ca="1" si="1"/>
        <v>2019092032</v>
      </c>
      <c r="G23" s="3">
        <f t="shared" ca="1" si="1"/>
        <v>2019092042</v>
      </c>
      <c r="H23" s="3">
        <f t="shared" ca="1" si="1"/>
        <v>2019092052</v>
      </c>
      <c r="I23" s="3">
        <f t="shared" ca="1" si="1"/>
        <v>2019092062</v>
      </c>
      <c r="J23" s="3">
        <f t="shared" ca="1" si="1"/>
        <v>2019092072</v>
      </c>
    </row>
    <row r="24" spans="3:10" hidden="1" x14ac:dyDescent="0.7">
      <c r="C24" s="3">
        <v>3</v>
      </c>
      <c r="D24" s="3">
        <f t="shared" ca="1" si="1"/>
        <v>2019092013</v>
      </c>
      <c r="E24" s="3">
        <f t="shared" ca="1" si="1"/>
        <v>2019092023</v>
      </c>
      <c r="F24" s="3">
        <f t="shared" ca="1" si="1"/>
        <v>2019092033</v>
      </c>
      <c r="G24" s="3">
        <f t="shared" ca="1" si="1"/>
        <v>2019092043</v>
      </c>
      <c r="H24" s="3">
        <f t="shared" ca="1" si="1"/>
        <v>2019092053</v>
      </c>
      <c r="I24" s="3">
        <f t="shared" ca="1" si="1"/>
        <v>2019092063</v>
      </c>
      <c r="J24" s="3">
        <f t="shared" ca="1" si="1"/>
        <v>2019092073</v>
      </c>
    </row>
    <row r="25" spans="3:10" hidden="1" x14ac:dyDescent="0.7">
      <c r="C25" s="3">
        <v>4</v>
      </c>
      <c r="D25" s="3">
        <f t="shared" ca="1" si="1"/>
        <v>2019092014</v>
      </c>
      <c r="E25" s="3">
        <f t="shared" ca="1" si="1"/>
        <v>2019092024</v>
      </c>
      <c r="F25" s="3">
        <f t="shared" ca="1" si="1"/>
        <v>2019092034</v>
      </c>
      <c r="G25" s="3">
        <f t="shared" ca="1" si="1"/>
        <v>2019092044</v>
      </c>
      <c r="H25" s="3">
        <f t="shared" ca="1" si="1"/>
        <v>2019092054</v>
      </c>
      <c r="I25" s="3">
        <f t="shared" ca="1" si="1"/>
        <v>2019092064</v>
      </c>
      <c r="J25" s="3">
        <f t="shared" ca="1" si="1"/>
        <v>2019092074</v>
      </c>
    </row>
    <row r="26" spans="3:10" hidden="1" x14ac:dyDescent="0.7">
      <c r="C26" s="3">
        <v>5</v>
      </c>
      <c r="D26" s="3">
        <f t="shared" ca="1" si="1"/>
        <v>2019092015</v>
      </c>
      <c r="E26" s="3">
        <f t="shared" ca="1" si="1"/>
        <v>2019092025</v>
      </c>
      <c r="F26" s="3">
        <f t="shared" ca="1" si="1"/>
        <v>2019092035</v>
      </c>
      <c r="G26" s="3">
        <f t="shared" ca="1" si="1"/>
        <v>2019092045</v>
      </c>
      <c r="H26" s="3">
        <f t="shared" ca="1" si="1"/>
        <v>2019092055</v>
      </c>
      <c r="I26" s="3">
        <f t="shared" ca="1" si="1"/>
        <v>2019092065</v>
      </c>
      <c r="J26" s="3">
        <f t="shared" ca="1" si="1"/>
        <v>2019092075</v>
      </c>
    </row>
  </sheetData>
  <sheetProtection sheet="1" objects="1" scenarios="1"/>
  <protectedRanges>
    <protectedRange sqref="T4" name="範囲4"/>
    <protectedRange sqref="K2:L2" name="範囲3"/>
    <protectedRange sqref="O1:P1" name="範囲2"/>
  </protectedRanges>
  <mergeCells count="4">
    <mergeCell ref="A5:A7"/>
    <mergeCell ref="K4:L5"/>
    <mergeCell ref="M4:N5"/>
    <mergeCell ref="K6:L7"/>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123825</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zoomScaleNormal="100" workbookViewId="0">
      <selection activeCell="E1" sqref="E1"/>
    </sheetView>
  </sheetViews>
  <sheetFormatPr defaultRowHeight="17.649999999999999" x14ac:dyDescent="0.7"/>
  <cols>
    <col min="2" max="2" width="40.6875" customWidth="1"/>
  </cols>
  <sheetData>
    <row r="1" spans="1:1" ht="181.05" customHeight="1" x14ac:dyDescent="0.7">
      <c r="A1">
        <v>0</v>
      </c>
    </row>
    <row r="2" spans="1:1" ht="157.15" customHeight="1" x14ac:dyDescent="0.7">
      <c r="A2">
        <v>1</v>
      </c>
    </row>
    <row r="3" spans="1:1" ht="157.15" customHeight="1" x14ac:dyDescent="0.7">
      <c r="A3">
        <v>2</v>
      </c>
    </row>
    <row r="4" spans="1:1" ht="157.25" customHeight="1" x14ac:dyDescent="0.7">
      <c r="A4">
        <v>3</v>
      </c>
    </row>
    <row r="5" spans="1:1" ht="157.25" customHeight="1" x14ac:dyDescent="0.7">
      <c r="A5">
        <v>4</v>
      </c>
    </row>
    <row r="6" spans="1:1" ht="157.25" customHeight="1" x14ac:dyDescent="0.7">
      <c r="A6">
        <v>5</v>
      </c>
    </row>
    <row r="7" spans="1:1" ht="157.25" customHeight="1" x14ac:dyDescent="0.7">
      <c r="A7">
        <v>6</v>
      </c>
    </row>
    <row r="8" spans="1:1" ht="157.25" customHeight="1" x14ac:dyDescent="0.7">
      <c r="A8">
        <v>7</v>
      </c>
    </row>
    <row r="9" spans="1:1" ht="157.25" customHeight="1" x14ac:dyDescent="0.7">
      <c r="A9">
        <v>8</v>
      </c>
    </row>
    <row r="10" spans="1:1" ht="157.25" customHeight="1" x14ac:dyDescent="0.7">
      <c r="A10">
        <v>9</v>
      </c>
    </row>
    <row r="11" spans="1:1" ht="157.25" customHeight="1" x14ac:dyDescent="0.7">
      <c r="A11">
        <v>10</v>
      </c>
    </row>
    <row r="12" spans="1:1" ht="157.25" customHeight="1" x14ac:dyDescent="0.7">
      <c r="A12">
        <v>11</v>
      </c>
    </row>
    <row r="13" spans="1:1" ht="157.25" customHeight="1" x14ac:dyDescent="0.7">
      <c r="A13">
        <v>12</v>
      </c>
    </row>
    <row r="14" spans="1:1" ht="157.25"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18" sqref="D18"/>
    </sheetView>
  </sheetViews>
  <sheetFormatPr defaultRowHeight="17.649999999999999" x14ac:dyDescent="0.7"/>
  <cols>
    <col min="4" max="4" width="13.25" customWidth="1"/>
    <col min="5" max="5" width="57.0625" customWidth="1"/>
  </cols>
  <sheetData>
    <row r="1" spans="1:7" x14ac:dyDescent="0.7">
      <c r="A1" t="s">
        <v>146</v>
      </c>
      <c r="B1" t="s">
        <v>147</v>
      </c>
      <c r="C1" t="s">
        <v>148</v>
      </c>
      <c r="D1" t="s">
        <v>149</v>
      </c>
      <c r="E1" t="s">
        <v>150</v>
      </c>
      <c r="F1" t="s">
        <v>151</v>
      </c>
    </row>
    <row r="2" spans="1:7" x14ac:dyDescent="0.7">
      <c r="A2">
        <v>1</v>
      </c>
      <c r="B2" t="s">
        <v>172</v>
      </c>
      <c r="C2" t="s">
        <v>155</v>
      </c>
      <c r="D2" t="s">
        <v>173</v>
      </c>
      <c r="E2" t="s">
        <v>164</v>
      </c>
      <c r="F2" t="s">
        <v>198</v>
      </c>
    </row>
    <row r="3" spans="1:7" x14ac:dyDescent="0.7">
      <c r="A3">
        <v>2</v>
      </c>
      <c r="B3" t="s">
        <v>174</v>
      </c>
      <c r="C3" t="s">
        <v>155</v>
      </c>
      <c r="D3" t="s">
        <v>175</v>
      </c>
      <c r="E3" t="s">
        <v>162</v>
      </c>
      <c r="F3" t="s">
        <v>199</v>
      </c>
    </row>
    <row r="4" spans="1:7" x14ac:dyDescent="0.7">
      <c r="A4">
        <v>3</v>
      </c>
      <c r="B4" t="s">
        <v>156</v>
      </c>
      <c r="C4" t="s">
        <v>176</v>
      </c>
      <c r="D4" t="s">
        <v>177</v>
      </c>
      <c r="E4" t="s">
        <v>163</v>
      </c>
      <c r="F4" t="s">
        <v>200</v>
      </c>
    </row>
    <row r="5" spans="1:7" x14ac:dyDescent="0.7">
      <c r="A5">
        <v>4</v>
      </c>
      <c r="B5" t="s">
        <v>152</v>
      </c>
      <c r="C5" t="s">
        <v>160</v>
      </c>
      <c r="D5" t="s">
        <v>178</v>
      </c>
      <c r="E5" t="s">
        <v>164</v>
      </c>
      <c r="F5" t="s">
        <v>201</v>
      </c>
    </row>
    <row r="6" spans="1:7" x14ac:dyDescent="0.7">
      <c r="A6">
        <v>5</v>
      </c>
      <c r="B6" t="s">
        <v>179</v>
      </c>
      <c r="C6" t="s">
        <v>155</v>
      </c>
      <c r="D6" t="s">
        <v>180</v>
      </c>
      <c r="E6" t="s">
        <v>162</v>
      </c>
      <c r="F6" t="s">
        <v>202</v>
      </c>
    </row>
    <row r="7" spans="1:7" x14ac:dyDescent="0.7">
      <c r="A7">
        <v>6</v>
      </c>
      <c r="B7" t="s">
        <v>181</v>
      </c>
      <c r="C7" t="s">
        <v>161</v>
      </c>
      <c r="D7" t="s">
        <v>182</v>
      </c>
      <c r="E7" t="s">
        <v>164</v>
      </c>
      <c r="F7" t="s">
        <v>203</v>
      </c>
    </row>
    <row r="8" spans="1:7" x14ac:dyDescent="0.7">
      <c r="A8">
        <v>7</v>
      </c>
      <c r="B8" t="s">
        <v>183</v>
      </c>
      <c r="C8" t="s">
        <v>183</v>
      </c>
      <c r="D8" t="s">
        <v>184</v>
      </c>
      <c r="E8" t="s">
        <v>162</v>
      </c>
      <c r="F8" t="s">
        <v>204</v>
      </c>
    </row>
    <row r="9" spans="1:7" x14ac:dyDescent="0.7">
      <c r="A9">
        <v>8</v>
      </c>
      <c r="B9" t="s">
        <v>185</v>
      </c>
      <c r="C9" t="s">
        <v>153</v>
      </c>
      <c r="D9" t="s">
        <v>186</v>
      </c>
      <c r="E9" t="s">
        <v>162</v>
      </c>
      <c r="F9" t="s">
        <v>205</v>
      </c>
      <c r="G9" t="s">
        <v>154</v>
      </c>
    </row>
    <row r="10" spans="1:7" x14ac:dyDescent="0.7">
      <c r="A10">
        <v>9</v>
      </c>
      <c r="B10" t="s">
        <v>187</v>
      </c>
      <c r="C10" t="s">
        <v>153</v>
      </c>
      <c r="D10" t="s">
        <v>188</v>
      </c>
      <c r="E10" t="s">
        <v>162</v>
      </c>
      <c r="F10" t="s">
        <v>206</v>
      </c>
    </row>
    <row r="11" spans="1:7" x14ac:dyDescent="0.7">
      <c r="A11">
        <v>10</v>
      </c>
      <c r="B11" t="s">
        <v>189</v>
      </c>
      <c r="C11" t="s">
        <v>183</v>
      </c>
      <c r="D11" t="s">
        <v>190</v>
      </c>
      <c r="E11" t="s">
        <v>163</v>
      </c>
      <c r="F11" t="s">
        <v>207</v>
      </c>
    </row>
    <row r="12" spans="1:7" x14ac:dyDescent="0.7">
      <c r="A12">
        <v>11</v>
      </c>
      <c r="B12" t="s">
        <v>191</v>
      </c>
      <c r="C12" t="s">
        <v>153</v>
      </c>
      <c r="D12" t="s">
        <v>192</v>
      </c>
      <c r="E12" t="s">
        <v>164</v>
      </c>
      <c r="F12" t="s">
        <v>208</v>
      </c>
    </row>
    <row r="13" spans="1:7" x14ac:dyDescent="0.7">
      <c r="A13">
        <v>12</v>
      </c>
      <c r="B13" t="s">
        <v>193</v>
      </c>
      <c r="C13" t="s">
        <v>194</v>
      </c>
      <c r="D13" t="s">
        <v>195</v>
      </c>
      <c r="E13" t="s">
        <v>162</v>
      </c>
      <c r="F13" t="s">
        <v>209</v>
      </c>
    </row>
    <row r="14" spans="1:7" x14ac:dyDescent="0.7">
      <c r="A14">
        <v>13</v>
      </c>
      <c r="B14" t="s">
        <v>193</v>
      </c>
      <c r="C14" t="s">
        <v>196</v>
      </c>
      <c r="D14" t="s">
        <v>197</v>
      </c>
      <c r="E14" t="s">
        <v>163</v>
      </c>
      <c r="F14" t="s">
        <v>210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61913</xdr:rowOff>
                  </from>
                  <to>
                    <xdr:col>11</xdr:col>
                    <xdr:colOff>666750</xdr:colOff>
                    <xdr:row>4</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8"/>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6" customFormat="1" x14ac:dyDescent="0.7">
      <c r="A54" s="26">
        <v>20190920</v>
      </c>
      <c r="B54" s="26">
        <v>2</v>
      </c>
      <c r="C54" s="26">
        <v>1</v>
      </c>
      <c r="D54" s="26">
        <v>2019092021</v>
      </c>
      <c r="E54" s="26">
        <v>1</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6" customFormat="1" x14ac:dyDescent="0.7">
      <c r="A55" s="26">
        <v>20190920</v>
      </c>
      <c r="B55" s="26">
        <v>2</v>
      </c>
      <c r="C55" s="26">
        <v>4</v>
      </c>
      <c r="D55" s="26">
        <v>2019092024</v>
      </c>
      <c r="E55" s="26">
        <v>0</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6" customFormat="1" x14ac:dyDescent="0.7">
      <c r="A56" s="26">
        <v>20190920</v>
      </c>
      <c r="B56" s="26">
        <v>3</v>
      </c>
      <c r="C56" s="26">
        <v>3</v>
      </c>
      <c r="D56" s="26">
        <v>2019092033</v>
      </c>
      <c r="E56" s="26">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6" customFormat="1" x14ac:dyDescent="0.7">
      <c r="A57" s="26">
        <v>20190920</v>
      </c>
      <c r="B57" s="26">
        <v>4</v>
      </c>
      <c r="C57" s="26">
        <v>3</v>
      </c>
      <c r="D57" s="26">
        <v>2019092043</v>
      </c>
      <c r="E57" s="26">
        <v>0</v>
      </c>
      <c r="F57" s="2">
        <v>342599567</v>
      </c>
      <c r="G57" s="2">
        <v>342599567</v>
      </c>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6" customFormat="1" x14ac:dyDescent="0.7">
      <c r="A58" s="26">
        <v>20190920</v>
      </c>
      <c r="B58" s="26">
        <v>6</v>
      </c>
      <c r="C58" s="26">
        <v>2</v>
      </c>
      <c r="D58" s="26">
        <v>2019092062</v>
      </c>
      <c r="E58" s="26">
        <v>0</v>
      </c>
      <c r="F58" s="2">
        <v>282599345</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sheetData>
  <sortState xmlns:xlrd2="http://schemas.microsoft.com/office/spreadsheetml/2017/richdata2" ref="A2:F53">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4"/>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20190920</v>
      </c>
      <c r="B1">
        <v>20190920</v>
      </c>
    </row>
    <row r="2" spans="1:2" s="26" customFormat="1" x14ac:dyDescent="0.7">
      <c r="A2" s="26">
        <v>282599345</v>
      </c>
      <c r="B2" s="26">
        <v>1</v>
      </c>
    </row>
    <row r="3" spans="1:2" s="26" customFormat="1" x14ac:dyDescent="0.7">
      <c r="A3" s="26">
        <v>342599567</v>
      </c>
      <c r="B3" s="26">
        <v>5</v>
      </c>
    </row>
    <row r="4" spans="1:2" s="26" customFormat="1" x14ac:dyDescent="0.7">
      <c r="A4" s="26">
        <v>452599678</v>
      </c>
      <c r="B4" s="26">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107</v>
      </c>
      <c r="E1" t="s">
        <v>108</v>
      </c>
      <c r="H1" t="s">
        <v>109</v>
      </c>
    </row>
    <row r="2" spans="1:18" x14ac:dyDescent="0.7">
      <c r="B2" t="s">
        <v>110</v>
      </c>
      <c r="D2" t="s">
        <v>111</v>
      </c>
      <c r="E2" t="s">
        <v>110</v>
      </c>
      <c r="G2" t="s">
        <v>112</v>
      </c>
      <c r="H2" t="s">
        <v>110</v>
      </c>
      <c r="J2" t="s">
        <v>112</v>
      </c>
    </row>
    <row r="3" spans="1:18" x14ac:dyDescent="0.7">
      <c r="B3">
        <v>1</v>
      </c>
      <c r="C3" t="s">
        <v>113</v>
      </c>
      <c r="D3">
        <v>2501</v>
      </c>
      <c r="E3">
        <v>1</v>
      </c>
      <c r="F3" t="s">
        <v>113</v>
      </c>
      <c r="G3">
        <v>2001</v>
      </c>
      <c r="H3" s="12">
        <v>1</v>
      </c>
      <c r="I3" t="s">
        <v>113</v>
      </c>
      <c r="J3" s="12">
        <v>2011</v>
      </c>
      <c r="P3" t="s">
        <v>139</v>
      </c>
    </row>
    <row r="4" spans="1:18" x14ac:dyDescent="0.7">
      <c r="B4">
        <v>2</v>
      </c>
      <c r="C4" t="s">
        <v>114</v>
      </c>
      <c r="D4">
        <v>2502</v>
      </c>
      <c r="E4">
        <v>2</v>
      </c>
      <c r="F4" t="s">
        <v>114</v>
      </c>
      <c r="G4">
        <v>2002</v>
      </c>
      <c r="H4" s="12">
        <v>2</v>
      </c>
      <c r="I4" t="s">
        <v>115</v>
      </c>
      <c r="J4" s="12">
        <v>2012</v>
      </c>
      <c r="P4" t="s">
        <v>140</v>
      </c>
      <c r="Q4">
        <f>23+5+20*7</f>
        <v>168</v>
      </c>
      <c r="R4">
        <f>5.5+4.2+18*7+5.2+22*2</f>
        <v>184.89999999999998</v>
      </c>
    </row>
    <row r="5" spans="1:18" x14ac:dyDescent="0.7">
      <c r="B5">
        <v>3</v>
      </c>
      <c r="C5" t="s">
        <v>116</v>
      </c>
      <c r="D5">
        <v>2503</v>
      </c>
      <c r="E5">
        <v>3</v>
      </c>
      <c r="F5" t="s">
        <v>116</v>
      </c>
      <c r="G5">
        <v>2003</v>
      </c>
      <c r="H5" s="12">
        <v>2</v>
      </c>
      <c r="I5" t="s">
        <v>117</v>
      </c>
      <c r="J5" s="12">
        <v>2013</v>
      </c>
      <c r="P5" t="s">
        <v>141</v>
      </c>
      <c r="Q5">
        <f>50+50+30+115*5</f>
        <v>705</v>
      </c>
    </row>
    <row r="6" spans="1:18" x14ac:dyDescent="0.7">
      <c r="B6">
        <v>4</v>
      </c>
      <c r="C6" t="s">
        <v>118</v>
      </c>
      <c r="D6">
        <v>2504</v>
      </c>
      <c r="E6">
        <v>4</v>
      </c>
      <c r="F6" t="s">
        <v>118</v>
      </c>
      <c r="G6">
        <v>2004</v>
      </c>
      <c r="H6" s="12">
        <v>3</v>
      </c>
      <c r="I6" t="s">
        <v>116</v>
      </c>
      <c r="J6" s="12">
        <v>2014</v>
      </c>
    </row>
    <row r="7" spans="1:18" x14ac:dyDescent="0.7">
      <c r="B7">
        <v>5</v>
      </c>
      <c r="C7" t="s">
        <v>119</v>
      </c>
      <c r="D7">
        <v>2505</v>
      </c>
      <c r="E7">
        <v>5</v>
      </c>
      <c r="F7" t="s">
        <v>119</v>
      </c>
      <c r="G7">
        <v>2005</v>
      </c>
      <c r="H7" s="12">
        <v>4</v>
      </c>
      <c r="I7" t="s">
        <v>118</v>
      </c>
      <c r="J7" s="12">
        <v>2015</v>
      </c>
    </row>
    <row r="8" spans="1:18" x14ac:dyDescent="0.7">
      <c r="B8">
        <v>6</v>
      </c>
      <c r="C8" t="s">
        <v>120</v>
      </c>
      <c r="D8">
        <v>2506</v>
      </c>
      <c r="E8">
        <v>6</v>
      </c>
      <c r="F8" t="s">
        <v>120</v>
      </c>
      <c r="G8">
        <v>2006</v>
      </c>
      <c r="H8" s="12">
        <v>5</v>
      </c>
      <c r="I8" t="s">
        <v>119</v>
      </c>
      <c r="J8" s="12">
        <v>2016</v>
      </c>
    </row>
    <row r="9" spans="1:18" x14ac:dyDescent="0.7">
      <c r="B9">
        <v>7</v>
      </c>
      <c r="C9" t="s">
        <v>121</v>
      </c>
      <c r="D9">
        <v>2507</v>
      </c>
      <c r="E9">
        <v>7</v>
      </c>
      <c r="F9" t="s">
        <v>121</v>
      </c>
      <c r="G9">
        <v>2007</v>
      </c>
      <c r="H9" s="12">
        <v>6</v>
      </c>
      <c r="I9" t="s">
        <v>120</v>
      </c>
      <c r="J9" s="12">
        <v>2017</v>
      </c>
    </row>
    <row r="10" spans="1:18" x14ac:dyDescent="0.7">
      <c r="B10">
        <v>8</v>
      </c>
      <c r="C10" t="s">
        <v>122</v>
      </c>
      <c r="D10">
        <v>2508</v>
      </c>
      <c r="E10">
        <v>8</v>
      </c>
      <c r="F10" t="s">
        <v>122</v>
      </c>
      <c r="G10">
        <v>2008</v>
      </c>
      <c r="H10" s="12">
        <v>7</v>
      </c>
      <c r="I10" t="s">
        <v>121</v>
      </c>
      <c r="J10" s="12">
        <v>2018</v>
      </c>
    </row>
    <row r="11" spans="1:18" x14ac:dyDescent="0.7">
      <c r="B11">
        <v>9</v>
      </c>
      <c r="C11" t="s">
        <v>123</v>
      </c>
      <c r="D11">
        <v>2509</v>
      </c>
      <c r="E11" s="12">
        <v>9</v>
      </c>
      <c r="F11" t="s">
        <v>124</v>
      </c>
      <c r="G11" s="12">
        <v>2009</v>
      </c>
      <c r="H11" s="12">
        <v>8</v>
      </c>
      <c r="I11" t="s">
        <v>122</v>
      </c>
      <c r="J11" s="12">
        <v>2019</v>
      </c>
    </row>
    <row r="12" spans="1:18" x14ac:dyDescent="0.7">
      <c r="B12">
        <v>10</v>
      </c>
      <c r="C12" t="s">
        <v>124</v>
      </c>
      <c r="D12" s="12">
        <v>2510</v>
      </c>
      <c r="H12" s="13">
        <v>9</v>
      </c>
      <c r="I12" t="s">
        <v>124</v>
      </c>
      <c r="J12" s="13">
        <v>2020</v>
      </c>
    </row>
    <row r="13" spans="1:18" x14ac:dyDescent="0.7">
      <c r="B13">
        <v>11</v>
      </c>
      <c r="C13" t="s">
        <v>125</v>
      </c>
      <c r="D13" s="13">
        <v>2521</v>
      </c>
      <c r="E13" s="12">
        <v>51</v>
      </c>
      <c r="F13" s="12" t="s">
        <v>126</v>
      </c>
      <c r="G13" s="13">
        <v>2101</v>
      </c>
      <c r="H13" s="12">
        <v>51</v>
      </c>
      <c r="I13" t="s">
        <v>126</v>
      </c>
      <c r="J13" s="13">
        <v>2111</v>
      </c>
    </row>
    <row r="14" spans="1:18" x14ac:dyDescent="0.7">
      <c r="B14">
        <v>51</v>
      </c>
      <c r="C14" t="s">
        <v>127</v>
      </c>
      <c r="D14" s="13">
        <v>2511</v>
      </c>
      <c r="E14">
        <v>61</v>
      </c>
      <c r="F14" t="s">
        <v>128</v>
      </c>
      <c r="G14">
        <v>2201</v>
      </c>
      <c r="H14" s="13">
        <v>61</v>
      </c>
      <c r="I14" t="s">
        <v>128</v>
      </c>
      <c r="J14" s="13">
        <v>2211</v>
      </c>
    </row>
    <row r="15" spans="1:18" x14ac:dyDescent="0.7">
      <c r="B15">
        <v>52</v>
      </c>
      <c r="C15" t="s">
        <v>129</v>
      </c>
      <c r="D15">
        <v>2512</v>
      </c>
      <c r="E15">
        <v>62</v>
      </c>
      <c r="F15" t="s">
        <v>130</v>
      </c>
      <c r="G15">
        <v>2202</v>
      </c>
      <c r="H15" s="13">
        <v>62</v>
      </c>
      <c r="I15" t="s">
        <v>130</v>
      </c>
      <c r="J15" s="13">
        <v>2212</v>
      </c>
    </row>
    <row r="16" spans="1:18" x14ac:dyDescent="0.7">
      <c r="B16">
        <v>53</v>
      </c>
      <c r="C16" t="s">
        <v>131</v>
      </c>
      <c r="D16">
        <v>2513</v>
      </c>
    </row>
    <row r="17" spans="2:10" x14ac:dyDescent="0.7">
      <c r="B17">
        <v>54</v>
      </c>
      <c r="C17" t="s">
        <v>132</v>
      </c>
      <c r="D17">
        <v>2514</v>
      </c>
      <c r="F17" t="s">
        <v>133</v>
      </c>
      <c r="G17">
        <v>2099</v>
      </c>
      <c r="I17" t="s">
        <v>133</v>
      </c>
      <c r="J17" s="12">
        <v>2099</v>
      </c>
    </row>
    <row r="18" spans="2:10" x14ac:dyDescent="0.7">
      <c r="B18">
        <v>55</v>
      </c>
      <c r="C18" t="s">
        <v>134</v>
      </c>
      <c r="D18">
        <v>2515</v>
      </c>
    </row>
    <row r="19" spans="2:10" x14ac:dyDescent="0.7">
      <c r="B19">
        <v>56</v>
      </c>
      <c r="C19" t="s">
        <v>135</v>
      </c>
      <c r="D19">
        <v>2516</v>
      </c>
    </row>
    <row r="20" spans="2:10" x14ac:dyDescent="0.7">
      <c r="B20">
        <v>57</v>
      </c>
      <c r="C20" t="s">
        <v>136</v>
      </c>
      <c r="D20">
        <v>2517</v>
      </c>
      <c r="F20" t="s">
        <v>137</v>
      </c>
    </row>
    <row r="21" spans="2:10" x14ac:dyDescent="0.7">
      <c r="F21" t="s">
        <v>138</v>
      </c>
    </row>
    <row r="22" spans="2:10" x14ac:dyDescent="0.7">
      <c r="C22" t="s">
        <v>133</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9"/>
  <sheetViews>
    <sheetView workbookViewId="0">
      <selection activeCell="F25" sqref="F25"/>
    </sheetView>
  </sheetViews>
  <sheetFormatPr defaultRowHeight="17.649999999999999" x14ac:dyDescent="0.7"/>
  <cols>
    <col min="1" max="1" width="20.0625" customWidth="1"/>
    <col min="2" max="2" width="17.4375" customWidth="1"/>
    <col min="3" max="3" width="14.25" customWidth="1"/>
  </cols>
  <sheetData>
    <row r="1" spans="1:3" x14ac:dyDescent="0.7">
      <c r="A1" s="19" t="s">
        <v>157</v>
      </c>
      <c r="B1" t="s">
        <v>158</v>
      </c>
      <c r="C1" t="s">
        <v>159</v>
      </c>
    </row>
    <row r="2" spans="1:3" x14ac:dyDescent="0.7">
      <c r="A2" s="6">
        <v>43728.541666666664</v>
      </c>
      <c r="B2" s="6">
        <v>43728.583333333336</v>
      </c>
      <c r="C2" s="3">
        <v>8</v>
      </c>
    </row>
    <row r="3" spans="1:3" x14ac:dyDescent="0.7">
      <c r="A3" s="6">
        <v>43728.541666666664</v>
      </c>
      <c r="B3" s="6">
        <v>43728.583333333336</v>
      </c>
      <c r="C3" s="3">
        <v>10</v>
      </c>
    </row>
    <row r="4" spans="1:3" x14ac:dyDescent="0.7">
      <c r="A4" s="6">
        <v>43728.583333333336</v>
      </c>
      <c r="B4" s="6">
        <v>43728.625</v>
      </c>
      <c r="C4" s="3">
        <v>13</v>
      </c>
    </row>
    <row r="5" spans="1:3" x14ac:dyDescent="0.7">
      <c r="A5" s="6">
        <v>43728.583333333336</v>
      </c>
      <c r="B5" s="6">
        <v>43728.666666666664</v>
      </c>
      <c r="C5" s="3">
        <v>4</v>
      </c>
    </row>
    <row r="6" spans="1:3" x14ac:dyDescent="0.7">
      <c r="A6" s="6">
        <v>43728.625</v>
      </c>
      <c r="B6" s="6">
        <v>43728.666666666664</v>
      </c>
      <c r="C6" s="3">
        <v>12</v>
      </c>
    </row>
    <row r="7" spans="1:3" x14ac:dyDescent="0.7">
      <c r="A7" s="6">
        <v>43731.541666666664</v>
      </c>
      <c r="B7" s="6">
        <v>43731.583333333336</v>
      </c>
      <c r="C7" s="3">
        <v>8</v>
      </c>
    </row>
    <row r="8" spans="1:3" x14ac:dyDescent="0.7">
      <c r="A8" s="6">
        <v>43731.541666666664</v>
      </c>
      <c r="B8" s="6">
        <v>43731.583333333336</v>
      </c>
      <c r="C8" s="3">
        <v>6</v>
      </c>
    </row>
    <row r="9" spans="1:3" x14ac:dyDescent="0.7">
      <c r="A9" s="6">
        <v>43731.583333333336</v>
      </c>
      <c r="B9" s="6">
        <v>43731.625</v>
      </c>
      <c r="C9" s="3">
        <v>13</v>
      </c>
    </row>
    <row r="10" spans="1:3" x14ac:dyDescent="0.7">
      <c r="A10" s="6">
        <v>43732.5</v>
      </c>
      <c r="B10" s="6">
        <v>43732.583333333336</v>
      </c>
      <c r="C10" s="3">
        <v>5</v>
      </c>
    </row>
    <row r="11" spans="1:3" x14ac:dyDescent="0.7">
      <c r="A11" s="6">
        <v>43732.541666666664</v>
      </c>
      <c r="B11" s="6">
        <v>43732.625</v>
      </c>
      <c r="C11" s="3">
        <v>2</v>
      </c>
    </row>
    <row r="12" spans="1:3" x14ac:dyDescent="0.7">
      <c r="A12" s="6">
        <v>43732.625</v>
      </c>
      <c r="B12" s="6">
        <v>43732.666666666664</v>
      </c>
      <c r="C12" s="3">
        <v>10</v>
      </c>
    </row>
    <row r="13" spans="1:3" x14ac:dyDescent="0.7">
      <c r="A13" s="6">
        <v>43732.625</v>
      </c>
      <c r="B13" s="6">
        <v>43732.666666666664</v>
      </c>
      <c r="C13" s="3">
        <v>6</v>
      </c>
    </row>
    <row r="14" spans="1:3" x14ac:dyDescent="0.7">
      <c r="A14" s="6">
        <v>43733.541666666664</v>
      </c>
      <c r="B14" s="6">
        <v>43733.583333333336</v>
      </c>
      <c r="C14" s="3">
        <v>11</v>
      </c>
    </row>
    <row r="15" spans="1:3" x14ac:dyDescent="0.7">
      <c r="A15" s="6">
        <v>43733.541666666664</v>
      </c>
      <c r="B15" s="6">
        <v>43733.583333333336</v>
      </c>
      <c r="C15" s="3">
        <v>1</v>
      </c>
    </row>
    <row r="16" spans="1:3" x14ac:dyDescent="0.7">
      <c r="A16" s="6">
        <v>43733.583333333336</v>
      </c>
      <c r="B16" s="6">
        <v>43733.625</v>
      </c>
      <c r="C16" s="3">
        <v>7</v>
      </c>
    </row>
    <row r="17" spans="1:3" x14ac:dyDescent="0.7">
      <c r="A17" s="6">
        <v>43733.625</v>
      </c>
      <c r="B17" s="6">
        <v>43733.666666666664</v>
      </c>
      <c r="C17" s="3">
        <v>9</v>
      </c>
    </row>
    <row r="18" spans="1:3" x14ac:dyDescent="0.7">
      <c r="A18" s="6">
        <v>43734.541666666664</v>
      </c>
      <c r="B18" s="6">
        <v>43734.583333333336</v>
      </c>
      <c r="C18" s="3">
        <v>2</v>
      </c>
    </row>
    <row r="19" spans="1:3" x14ac:dyDescent="0.7">
      <c r="A19" s="6">
        <v>43734.5</v>
      </c>
      <c r="B19" s="6">
        <v>43734.583333333336</v>
      </c>
      <c r="C19" s="3">
        <v>1</v>
      </c>
    </row>
    <row r="20" spans="1:3" x14ac:dyDescent="0.7">
      <c r="A20" s="6">
        <v>43734.583333333336</v>
      </c>
      <c r="B20" s="6">
        <v>43734.666666666664</v>
      </c>
      <c r="C20" s="3">
        <v>3</v>
      </c>
    </row>
    <row r="21" spans="1:3" x14ac:dyDescent="0.7">
      <c r="A21" s="6">
        <v>43735.541666666664</v>
      </c>
      <c r="B21" s="6">
        <v>43735.583333333336</v>
      </c>
      <c r="C21" s="3">
        <v>8</v>
      </c>
    </row>
    <row r="22" spans="1:3" x14ac:dyDescent="0.7">
      <c r="A22" s="6">
        <v>43735.541666666664</v>
      </c>
      <c r="B22" s="6">
        <v>43735.583333333336</v>
      </c>
      <c r="C22" s="3">
        <v>10</v>
      </c>
    </row>
    <row r="23" spans="1:3" x14ac:dyDescent="0.7">
      <c r="A23" s="6">
        <v>43735.583333333336</v>
      </c>
      <c r="B23" s="6">
        <v>43735.625</v>
      </c>
      <c r="C23" s="3">
        <v>13</v>
      </c>
    </row>
    <row r="24" spans="1:3" x14ac:dyDescent="0.7">
      <c r="A24" s="6">
        <v>43735.583333333336</v>
      </c>
      <c r="B24" s="6">
        <v>43735.666666666664</v>
      </c>
      <c r="C24" s="3">
        <v>4</v>
      </c>
    </row>
    <row r="25" spans="1:3" x14ac:dyDescent="0.7">
      <c r="A25" s="6">
        <v>43735.625</v>
      </c>
      <c r="B25" s="6">
        <v>43735.666666666664</v>
      </c>
      <c r="C25" s="3">
        <v>12</v>
      </c>
    </row>
    <row r="26" spans="1:3" x14ac:dyDescent="0.7">
      <c r="A26" s="6"/>
      <c r="B26" s="6"/>
      <c r="C26" s="3"/>
    </row>
    <row r="27" spans="1:3" x14ac:dyDescent="0.7">
      <c r="A27" s="6"/>
      <c r="B27" s="6"/>
      <c r="C27" s="3"/>
    </row>
    <row r="28" spans="1:3" x14ac:dyDescent="0.7">
      <c r="A28" s="6"/>
      <c r="B28" s="6"/>
      <c r="C28" s="3"/>
    </row>
    <row r="29" spans="1:3" x14ac:dyDescent="0.7">
      <c r="A29" s="6"/>
      <c r="B29" s="6"/>
      <c r="C29" s="3"/>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27</v>
      </c>
      <c r="C1" t="s">
        <v>28</v>
      </c>
      <c r="D1" t="s">
        <v>29</v>
      </c>
    </row>
    <row r="2" spans="1:5" x14ac:dyDescent="0.7">
      <c r="D2" t="s">
        <v>30</v>
      </c>
    </row>
    <row r="3" spans="1:5" x14ac:dyDescent="0.7">
      <c r="D3" t="s">
        <v>31</v>
      </c>
    </row>
    <row r="4" spans="1:5" x14ac:dyDescent="0.7">
      <c r="D4" t="s">
        <v>32</v>
      </c>
    </row>
    <row r="5" spans="1:5" x14ac:dyDescent="0.7">
      <c r="D5" s="9" t="s">
        <v>33</v>
      </c>
    </row>
    <row r="6" spans="1:5" x14ac:dyDescent="0.7">
      <c r="D6" t="s">
        <v>34</v>
      </c>
    </row>
    <row r="7" spans="1:5" x14ac:dyDescent="0.7">
      <c r="A7" s="8">
        <v>43640</v>
      </c>
      <c r="B7" t="s">
        <v>35</v>
      </c>
      <c r="C7" t="s">
        <v>28</v>
      </c>
      <c r="D7" t="s">
        <v>36</v>
      </c>
      <c r="E7" t="s">
        <v>37</v>
      </c>
    </row>
    <row r="8" spans="1:5" x14ac:dyDescent="0.7">
      <c r="A8" s="8"/>
      <c r="E8" t="s">
        <v>38</v>
      </c>
    </row>
    <row r="9" spans="1:5" x14ac:dyDescent="0.7">
      <c r="A9" s="8"/>
      <c r="D9" t="s">
        <v>39</v>
      </c>
      <c r="E9" t="s">
        <v>40</v>
      </c>
    </row>
    <row r="10" spans="1:5" x14ac:dyDescent="0.7">
      <c r="A10" s="8"/>
      <c r="D10" t="s">
        <v>25</v>
      </c>
      <c r="E10" t="s">
        <v>41</v>
      </c>
    </row>
    <row r="11" spans="1:5" x14ac:dyDescent="0.7">
      <c r="A11" s="8"/>
      <c r="E11" t="s">
        <v>42</v>
      </c>
    </row>
    <row r="12" spans="1:5" x14ac:dyDescent="0.7">
      <c r="A12" s="8"/>
      <c r="D12" t="s">
        <v>39</v>
      </c>
      <c r="E12" t="s">
        <v>43</v>
      </c>
    </row>
    <row r="13" spans="1:5" x14ac:dyDescent="0.7">
      <c r="A13" s="8"/>
      <c r="D13" t="s">
        <v>44</v>
      </c>
      <c r="E13" t="s">
        <v>45</v>
      </c>
    </row>
    <row r="14" spans="1:5" x14ac:dyDescent="0.7">
      <c r="A14" s="8"/>
      <c r="E14" t="s">
        <v>46</v>
      </c>
    </row>
    <row r="15" spans="1:5" x14ac:dyDescent="0.7">
      <c r="A15" s="8"/>
      <c r="D15" t="s">
        <v>47</v>
      </c>
      <c r="E15" t="s">
        <v>48</v>
      </c>
    </row>
    <row r="16" spans="1:5" x14ac:dyDescent="0.7">
      <c r="A16" s="8"/>
      <c r="E16" t="s">
        <v>49</v>
      </c>
    </row>
    <row r="17" spans="1:5" x14ac:dyDescent="0.7">
      <c r="A17" s="8">
        <v>43641</v>
      </c>
      <c r="B17" t="s">
        <v>50</v>
      </c>
      <c r="C17" t="s">
        <v>28</v>
      </c>
      <c r="D17" t="s">
        <v>36</v>
      </c>
      <c r="E17" t="s">
        <v>51</v>
      </c>
    </row>
    <row r="18" spans="1:5" x14ac:dyDescent="0.7">
      <c r="A18" s="10">
        <v>43644</v>
      </c>
      <c r="B18" t="s">
        <v>52</v>
      </c>
      <c r="C18" t="s">
        <v>28</v>
      </c>
      <c r="D18" t="s">
        <v>36</v>
      </c>
      <c r="E18" t="s">
        <v>53</v>
      </c>
    </row>
    <row r="19" spans="1:5" x14ac:dyDescent="0.7">
      <c r="D19" t="s">
        <v>25</v>
      </c>
      <c r="E19" t="s">
        <v>54</v>
      </c>
    </row>
    <row r="20" spans="1:5" x14ac:dyDescent="0.7">
      <c r="A20" s="10">
        <v>43651</v>
      </c>
      <c r="B20" t="s">
        <v>55</v>
      </c>
      <c r="C20" t="s">
        <v>28</v>
      </c>
      <c r="D20" t="s">
        <v>36</v>
      </c>
      <c r="E20" t="s">
        <v>56</v>
      </c>
    </row>
    <row r="21" spans="1:5" x14ac:dyDescent="0.7">
      <c r="D21" t="s">
        <v>25</v>
      </c>
      <c r="E21" t="s">
        <v>57</v>
      </c>
    </row>
    <row r="22" spans="1:5" x14ac:dyDescent="0.7">
      <c r="D22" t="s">
        <v>58</v>
      </c>
      <c r="E22" t="s">
        <v>59</v>
      </c>
    </row>
    <row r="23" spans="1:5" x14ac:dyDescent="0.7">
      <c r="A23" s="10">
        <v>43658</v>
      </c>
      <c r="B23" t="s">
        <v>60</v>
      </c>
      <c r="C23" t="s">
        <v>28</v>
      </c>
      <c r="D23" t="s">
        <v>36</v>
      </c>
      <c r="E23" t="s">
        <v>61</v>
      </c>
    </row>
    <row r="24" spans="1:5" x14ac:dyDescent="0.7">
      <c r="D24" t="s">
        <v>25</v>
      </c>
      <c r="E24" t="s">
        <v>62</v>
      </c>
    </row>
    <row r="25" spans="1:5" x14ac:dyDescent="0.7">
      <c r="D25" t="s">
        <v>58</v>
      </c>
      <c r="E25" t="s">
        <v>63</v>
      </c>
    </row>
    <row r="26" spans="1:5" x14ac:dyDescent="0.7">
      <c r="D26" t="s">
        <v>47</v>
      </c>
      <c r="E26" t="s">
        <v>64</v>
      </c>
    </row>
    <row r="27" spans="1:5" x14ac:dyDescent="0.7">
      <c r="D27" t="s">
        <v>65</v>
      </c>
      <c r="E27" t="s">
        <v>66</v>
      </c>
    </row>
    <row r="28" spans="1:5" x14ac:dyDescent="0.7">
      <c r="D28" t="s">
        <v>67</v>
      </c>
      <c r="E28" t="s">
        <v>68</v>
      </c>
    </row>
    <row r="29" spans="1:5" x14ac:dyDescent="0.7">
      <c r="E29" t="s">
        <v>69</v>
      </c>
    </row>
    <row r="30" spans="1:5" x14ac:dyDescent="0.7">
      <c r="E30" t="s">
        <v>70</v>
      </c>
    </row>
    <row r="31" spans="1:5" x14ac:dyDescent="0.7">
      <c r="D31" t="s">
        <v>71</v>
      </c>
      <c r="E31" t="s">
        <v>72</v>
      </c>
    </row>
    <row r="32" spans="1:5" x14ac:dyDescent="0.7">
      <c r="D32" t="s">
        <v>73</v>
      </c>
      <c r="E32" t="s">
        <v>74</v>
      </c>
    </row>
    <row r="33" spans="2:5" x14ac:dyDescent="0.7">
      <c r="D33" t="s">
        <v>75</v>
      </c>
      <c r="E33" t="s">
        <v>76</v>
      </c>
    </row>
    <row r="34" spans="2:5" x14ac:dyDescent="0.7">
      <c r="D34" t="s">
        <v>77</v>
      </c>
      <c r="E34" t="s">
        <v>78</v>
      </c>
    </row>
    <row r="35" spans="2:5" x14ac:dyDescent="0.7">
      <c r="E35" t="s">
        <v>79</v>
      </c>
    </row>
    <row r="36" spans="2:5" x14ac:dyDescent="0.7">
      <c r="D36" t="s">
        <v>80</v>
      </c>
      <c r="E36" t="s">
        <v>81</v>
      </c>
    </row>
    <row r="37" spans="2:5" x14ac:dyDescent="0.7">
      <c r="D37" t="s">
        <v>82</v>
      </c>
      <c r="E37" t="s">
        <v>83</v>
      </c>
    </row>
    <row r="38" spans="2:5" x14ac:dyDescent="0.7">
      <c r="E38" t="s">
        <v>84</v>
      </c>
    </row>
    <row r="39" spans="2:5" x14ac:dyDescent="0.7">
      <c r="E39" t="s">
        <v>85</v>
      </c>
    </row>
    <row r="40" spans="2:5" x14ac:dyDescent="0.7">
      <c r="E40" t="s">
        <v>86</v>
      </c>
    </row>
    <row r="41" spans="2:5" x14ac:dyDescent="0.7">
      <c r="D41" t="s">
        <v>87</v>
      </c>
      <c r="E41" t="s">
        <v>88</v>
      </c>
    </row>
    <row r="42" spans="2:5" x14ac:dyDescent="0.7">
      <c r="B42">
        <v>1.0309999999999999</v>
      </c>
      <c r="C42" t="s">
        <v>28</v>
      </c>
      <c r="D42" t="s">
        <v>36</v>
      </c>
      <c r="E42" t="s">
        <v>89</v>
      </c>
    </row>
    <row r="43" spans="2:5" x14ac:dyDescent="0.7">
      <c r="D43" t="s">
        <v>25</v>
      </c>
      <c r="E43" t="s">
        <v>90</v>
      </c>
    </row>
    <row r="44" spans="2:5" x14ac:dyDescent="0.7">
      <c r="B44">
        <v>1.032</v>
      </c>
      <c r="C44" t="s">
        <v>28</v>
      </c>
      <c r="D44" t="s">
        <v>36</v>
      </c>
      <c r="E44" t="s">
        <v>91</v>
      </c>
    </row>
    <row r="45" spans="2:5" x14ac:dyDescent="0.7">
      <c r="D45" t="s">
        <v>25</v>
      </c>
      <c r="E45" t="s">
        <v>92</v>
      </c>
    </row>
    <row r="46" spans="2:5" x14ac:dyDescent="0.7">
      <c r="B46">
        <v>1.0329999999999999</v>
      </c>
      <c r="C46" t="s">
        <v>28</v>
      </c>
      <c r="D46" t="s">
        <v>93</v>
      </c>
      <c r="E46" t="s">
        <v>94</v>
      </c>
    </row>
    <row r="47" spans="2:5" x14ac:dyDescent="0.7">
      <c r="D47" t="s">
        <v>95</v>
      </c>
      <c r="E47" t="s">
        <v>96</v>
      </c>
    </row>
    <row r="48" spans="2:5" x14ac:dyDescent="0.7">
      <c r="B48">
        <v>1.4</v>
      </c>
      <c r="C48" t="s">
        <v>28</v>
      </c>
      <c r="D48" t="s">
        <v>36</v>
      </c>
      <c r="E48" t="s">
        <v>97</v>
      </c>
    </row>
    <row r="49" spans="2:5" x14ac:dyDescent="0.7">
      <c r="E49" t="s">
        <v>98</v>
      </c>
    </row>
    <row r="50" spans="2:5" x14ac:dyDescent="0.7">
      <c r="D50" t="s">
        <v>36</v>
      </c>
      <c r="E50" t="s">
        <v>99</v>
      </c>
    </row>
    <row r="51" spans="2:5" x14ac:dyDescent="0.7">
      <c r="D51" t="s">
        <v>25</v>
      </c>
      <c r="E51" t="s">
        <v>100</v>
      </c>
    </row>
    <row r="52" spans="2:5" x14ac:dyDescent="0.7">
      <c r="D52" t="s">
        <v>58</v>
      </c>
      <c r="E52" t="s">
        <v>101</v>
      </c>
    </row>
    <row r="53" spans="2:5" x14ac:dyDescent="0.7">
      <c r="D53" t="s">
        <v>47</v>
      </c>
      <c r="E53" t="s">
        <v>102</v>
      </c>
    </row>
    <row r="54" spans="2:5" x14ac:dyDescent="0.7">
      <c r="D54" t="s">
        <v>103</v>
      </c>
      <c r="E54" t="s">
        <v>104</v>
      </c>
    </row>
    <row r="55" spans="2:5" x14ac:dyDescent="0.7">
      <c r="B55">
        <v>1.42</v>
      </c>
      <c r="C55" t="s">
        <v>28</v>
      </c>
      <c r="D55" t="s">
        <v>36</v>
      </c>
      <c r="E55" t="s">
        <v>105</v>
      </c>
    </row>
    <row r="56" spans="2:5" x14ac:dyDescent="0.7">
      <c r="B56">
        <v>1.43</v>
      </c>
      <c r="C56" t="s">
        <v>28</v>
      </c>
      <c r="D56" t="s">
        <v>36</v>
      </c>
      <c r="E56" t="s">
        <v>106</v>
      </c>
    </row>
    <row r="57" spans="2:5" x14ac:dyDescent="0.7">
      <c r="D57" t="s">
        <v>25</v>
      </c>
      <c r="E57" t="s">
        <v>26</v>
      </c>
    </row>
    <row r="58" spans="2:5" x14ac:dyDescent="0.7">
      <c r="D58" t="s">
        <v>142</v>
      </c>
      <c r="E58" t="s">
        <v>143</v>
      </c>
    </row>
    <row r="59" spans="2:5" x14ac:dyDescent="0.7">
      <c r="D59" t="s">
        <v>144</v>
      </c>
      <c r="E59" t="s">
        <v>145</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2019-09-19T17:18:18Z</dcterms:modified>
</cp:coreProperties>
</file>