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DBDE5E77-0178-4AEB-8200-E982BD55E774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AC2" i="4"/>
  <c r="AE4" i="4" l="1"/>
  <c r="K2" i="4"/>
  <c r="C13" i="4" l="1"/>
  <c r="C12" i="4"/>
  <c r="C21" i="4" l="1"/>
  <c r="E22" i="4" s="1"/>
  <c r="D4" i="4" s="1"/>
  <c r="D23" i="4" l="1"/>
  <c r="C5" i="4" s="1"/>
  <c r="F22" i="4"/>
  <c r="E4" i="4" s="1"/>
  <c r="J24" i="4"/>
  <c r="G24" i="4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F6" i="4"/>
  <c r="I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H5" i="4"/>
  <c r="H4" i="4"/>
  <c r="H7" i="4"/>
  <c r="G8" i="4"/>
  <c r="G6" i="4"/>
  <c r="G7" i="4"/>
</calcChain>
</file>

<file path=xl/sharedStrings.xml><?xml version="1.0" encoding="utf-8"?>
<sst xmlns="http://schemas.openxmlformats.org/spreadsheetml/2006/main" count="118" uniqueCount="91">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</sst>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6</xdr:row>
          <xdr:rowOff>433388</xdr:rowOff>
        </xdr:from>
        <xdr:to>
          <xdr:col>18</xdr:col>
          <xdr:colOff>333375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604838</xdr:colOff>
          <xdr:row>3</xdr:row>
          <xdr:rowOff>57150</xdr:rowOff>
        </xdr:from>
        <xdr:to>
          <xdr:col>18</xdr:col>
          <xdr:colOff>290513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614363</xdr:colOff>
          <xdr:row>7</xdr:row>
          <xdr:rowOff>571500</xdr:rowOff>
        </xdr:from>
        <xdr:to>
          <xdr:col>18</xdr:col>
          <xdr:colOff>314325</xdr:colOff>
          <xdr:row>9</xdr:row>
          <xdr:rowOff>309563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2917" y="929700"/>
          <a:ext cx="9424459" cy="4822342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38792" y="971622"/>
          <a:ext cx="9408584" cy="4796296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083" y="1307042"/>
          <a:ext cx="882111" cy="446984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97259" y="1308100"/>
          <a:ext cx="2597930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18152" y="7216347"/>
          <a:ext cx="2883542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209550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5</xdr:row>
          <xdr:rowOff>366713</xdr:rowOff>
        </xdr:from>
        <xdr:to>
          <xdr:col>18</xdr:col>
          <xdr:colOff>314325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33338</xdr:rowOff>
        </xdr:from>
        <xdr:to>
          <xdr:col>15</xdr:col>
          <xdr:colOff>133350</xdr:colOff>
          <xdr:row>3</xdr:row>
          <xdr:rowOff>428625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571500</xdr:rowOff>
        </xdr:from>
        <xdr:to>
          <xdr:col>15</xdr:col>
          <xdr:colOff>200025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190500</xdr:rowOff>
        </xdr:from>
        <xdr:to>
          <xdr:col>15</xdr:col>
          <xdr:colOff>200025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733425</xdr:rowOff>
        </xdr:from>
        <xdr:to>
          <xdr:col>15</xdr:col>
          <xdr:colOff>185738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352425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757238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314325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157163</xdr:rowOff>
        </xdr:from>
        <xdr:to>
          <xdr:col>15</xdr:col>
          <xdr:colOff>161925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995363</xdr:colOff>
          <xdr:row>11</xdr:row>
          <xdr:rowOff>333375</xdr:rowOff>
        </xdr:from>
        <xdr:to>
          <xdr:col>15</xdr:col>
          <xdr:colOff>138113</xdr:colOff>
          <xdr:row>12</xdr:row>
          <xdr:rowOff>285750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233363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15</xdr:col>
          <xdr:colOff>123825</xdr:colOff>
          <xdr:row>13</xdr:row>
          <xdr:rowOff>371475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133350</xdr:rowOff>
        </xdr:from>
        <xdr:to>
          <xdr:col>18</xdr:col>
          <xdr:colOff>280988</xdr:colOff>
          <xdr:row>4</xdr:row>
          <xdr:rowOff>885825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57150</xdr:rowOff>
        </xdr:from>
        <xdr:to>
          <xdr:col>23</xdr:col>
          <xdr:colOff>490538</xdr:colOff>
          <xdr:row>9</xdr:row>
          <xdr:rowOff>109538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985838</xdr:colOff>
          <xdr:row>14</xdr:row>
          <xdr:rowOff>142875</xdr:rowOff>
        </xdr:from>
        <xdr:to>
          <xdr:col>15</xdr:col>
          <xdr:colOff>152400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15</xdr:col>
      <xdr:colOff>312208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4761" y="6734574"/>
          <a:ext cx="2306239" cy="2107801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30" name="Picture 782">
          <a:extLst>
            <a:ext uri="{FF2B5EF4-FFF2-40B4-BE49-F238E27FC236}">
              <a16:creationId xmlns:a16="http://schemas.microsoft.com/office/drawing/2014/main" id="{5BEE7CFF-DC3E-48B6-BACE-97326F6C75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1397317</xdr:colOff>
      <xdr:row>0</xdr:row>
      <xdr:rowOff>45720</xdr:rowOff>
    </xdr:from>
    <xdr:to>
      <xdr:col>1</xdr:col>
      <xdr:colOff>2949892</xdr:colOff>
      <xdr:row>0</xdr:row>
      <xdr:rowOff>1760220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091089D-4080-4DFD-B8FF-973726AC8788}"/>
            </a:ext>
          </a:extLst>
        </xdr:cNvPr>
        <xdr:cNvSpPr txBox="1"/>
      </xdr:nvSpPr>
      <xdr:spPr>
        <a:xfrm>
          <a:off x="2083117" y="4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0</xdr:colOff>
      <xdr:row>1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C14E6B5D-3947-44A4-94B3-6C847F980D2A}"/>
            </a:ext>
          </a:extLst>
        </xdr:cNvPr>
        <xdr:cNvSpPr txBox="1"/>
      </xdr:nvSpPr>
      <xdr:spPr>
        <a:xfrm>
          <a:off x="685800" y="125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0</xdr:row>
      <xdr:rowOff>114300</xdr:rowOff>
    </xdr:from>
    <xdr:to>
      <xdr:col>1</xdr:col>
      <xdr:colOff>1217485</xdr:colOff>
      <xdr:row>0</xdr:row>
      <xdr:rowOff>1263204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3B7E9490-14DB-4813-BDE1-CD6FD6969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14300"/>
          <a:ext cx="1148905" cy="1148904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142875</xdr:rowOff>
        </xdr:from>
        <xdr:to>
          <xdr:col>8</xdr:col>
          <xdr:colOff>581025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371475</xdr:colOff>
          <xdr:row>0</xdr:row>
          <xdr:rowOff>85725</xdr:rowOff>
        </xdr:from>
        <xdr:to>
          <xdr:col>5</xdr:col>
          <xdr:colOff>485775</xdr:colOff>
          <xdr:row>2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showRowColHeaders="0" tabSelected="1" defaultGridColor="0" topLeftCell="H1" colorId="63" zoomScale="90" zoomScaleNormal="90" workbookViewId="0">
      <selection activeCell="M8" sqref="M8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9"/>
      <c r="C1" s="20"/>
      <c r="K1" s="31" t="s">
        <v>22</v>
      </c>
      <c r="L1" s="32" t="s">
        <v>65</v>
      </c>
    </row>
    <row r="2" spans="1:36" ht="46.9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50">
        <f ca="1">TODAY()</f>
        <v>43783</v>
      </c>
      <c r="L2" s="51">
        <f ca="1">NOW()-INT(NOW())</f>
        <v>0.7186797453687177</v>
      </c>
      <c r="N2" s="47" t="s">
        <v>85</v>
      </c>
      <c r="U2" s="40"/>
      <c r="AA2" s="37" t="s">
        <v>72</v>
      </c>
      <c r="AB2" s="38"/>
      <c r="AC2" s="34">
        <f ca="1">setting_time(L2)</f>
        <v>6</v>
      </c>
    </row>
    <row r="3" spans="1:36" ht="25.1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50"/>
      <c r="L3" s="51"/>
      <c r="N3" s="52" t="s">
        <v>86</v>
      </c>
      <c r="O3" s="52"/>
      <c r="P3" s="12"/>
      <c r="Q3" t="s">
        <v>87</v>
      </c>
      <c r="T3" t="s">
        <v>88</v>
      </c>
    </row>
    <row r="4" spans="1:36" ht="70.150000000000006" customHeight="1" x14ac:dyDescent="0.7">
      <c r="A4" s="10"/>
      <c r="B4" s="13">
        <v>1</v>
      </c>
      <c r="C4" s="49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9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9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9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9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8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8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64</v>
      </c>
      <c r="U4" s="37"/>
      <c r="V4" s="38"/>
      <c r="W4" s="38"/>
      <c r="X4" s="39"/>
      <c r="Z4" s="37" t="s">
        <v>73</v>
      </c>
      <c r="AA4" s="38"/>
      <c r="AB4" s="38" t="s">
        <v>74</v>
      </c>
      <c r="AC4" s="38"/>
      <c r="AD4" s="38"/>
      <c r="AE4" s="34">
        <f ca="1">AC2</f>
        <v>6</v>
      </c>
    </row>
    <row r="5" spans="1:36" ht="70.150000000000006" customHeight="1" x14ac:dyDescent="0.7">
      <c r="A5" s="27"/>
      <c r="B5" s="13">
        <v>2</v>
      </c>
      <c r="C5" s="49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9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9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9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9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8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8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7"/>
      <c r="V5" s="38"/>
      <c r="W5" s="38"/>
      <c r="X5" s="39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150000000000006" customHeight="1" x14ac:dyDescent="0.7">
      <c r="A6" s="27"/>
      <c r="B6" s="13">
        <v>3</v>
      </c>
      <c r="C6" s="49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9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9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9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9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8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8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7"/>
      <c r="B7" s="13">
        <v>4</v>
      </c>
      <c r="C7" s="49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9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9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9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9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8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8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2"/>
      <c r="B8" s="13">
        <v>5</v>
      </c>
      <c r="C8" s="49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9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9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9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9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8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8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.100000000000001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T13" t="s">
        <v>89</v>
      </c>
    </row>
    <row r="14" spans="1:36" ht="30" customHeight="1" x14ac:dyDescent="0.7">
      <c r="H14" s="1"/>
      <c r="T14" s="34">
        <v>2</v>
      </c>
      <c r="U14" s="37"/>
      <c r="V14" s="38" t="s">
        <v>68</v>
      </c>
      <c r="W14" s="38"/>
      <c r="X14" s="39"/>
    </row>
    <row r="15" spans="1:36" ht="30" customHeight="1" x14ac:dyDescent="0.7">
      <c r="B15" s="3"/>
      <c r="T15" s="45"/>
      <c r="U15" s="41"/>
      <c r="V15" s="41"/>
      <c r="W15" s="41"/>
      <c r="X15" s="42"/>
    </row>
    <row r="16" spans="1:36" ht="29.45" customHeight="1" x14ac:dyDescent="0.7">
      <c r="T16" s="46" t="s">
        <v>64</v>
      </c>
      <c r="U16" s="43"/>
      <c r="V16" s="43"/>
      <c r="W16" s="43"/>
      <c r="X16" s="44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20191114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2019111411</v>
      </c>
      <c r="E22" s="3">
        <f t="shared" ref="E22:J22" ca="1" si="0">$C$21*100+E$21*10+$C22</f>
        <v>2019111421</v>
      </c>
      <c r="F22" s="3">
        <f t="shared" ca="1" si="0"/>
        <v>2019111431</v>
      </c>
      <c r="G22" s="3">
        <f t="shared" ca="1" si="0"/>
        <v>2019111441</v>
      </c>
      <c r="H22" s="3">
        <f t="shared" ca="1" si="0"/>
        <v>2019111451</v>
      </c>
      <c r="I22" s="3">
        <f t="shared" ca="1" si="0"/>
        <v>2019111461</v>
      </c>
      <c r="J22" s="3">
        <f t="shared" ca="1" si="0"/>
        <v>2019111471</v>
      </c>
    </row>
    <row r="23" spans="3:10" hidden="1" x14ac:dyDescent="0.7">
      <c r="C23" s="3">
        <v>2</v>
      </c>
      <c r="D23" s="3">
        <f t="shared" ref="D23:J26" ca="1" si="1">$C$21*100+D$21*10+$C23</f>
        <v>2019111412</v>
      </c>
      <c r="E23" s="3">
        <f t="shared" ca="1" si="1"/>
        <v>2019111422</v>
      </c>
      <c r="F23" s="3">
        <f t="shared" ca="1" si="1"/>
        <v>2019111432</v>
      </c>
      <c r="G23" s="3">
        <f t="shared" ca="1" si="1"/>
        <v>2019111442</v>
      </c>
      <c r="H23" s="3">
        <f t="shared" ca="1" si="1"/>
        <v>2019111452</v>
      </c>
      <c r="I23" s="3">
        <f t="shared" ca="1" si="1"/>
        <v>2019111462</v>
      </c>
      <c r="J23" s="3">
        <f t="shared" ca="1" si="1"/>
        <v>2019111472</v>
      </c>
    </row>
    <row r="24" spans="3:10" hidden="1" x14ac:dyDescent="0.7">
      <c r="C24" s="3">
        <v>3</v>
      </c>
      <c r="D24" s="3">
        <f t="shared" ca="1" si="1"/>
        <v>2019111413</v>
      </c>
      <c r="E24" s="3">
        <f t="shared" ca="1" si="1"/>
        <v>2019111423</v>
      </c>
      <c r="F24" s="3">
        <f t="shared" ca="1" si="1"/>
        <v>2019111433</v>
      </c>
      <c r="G24" s="3">
        <f t="shared" ca="1" si="1"/>
        <v>2019111443</v>
      </c>
      <c r="H24" s="3">
        <f t="shared" ca="1" si="1"/>
        <v>2019111453</v>
      </c>
      <c r="I24" s="3">
        <f t="shared" ca="1" si="1"/>
        <v>2019111463</v>
      </c>
      <c r="J24" s="3">
        <f t="shared" ca="1" si="1"/>
        <v>2019111473</v>
      </c>
    </row>
    <row r="25" spans="3:10" hidden="1" x14ac:dyDescent="0.7">
      <c r="C25" s="3">
        <v>4</v>
      </c>
      <c r="D25" s="3">
        <f t="shared" ca="1" si="1"/>
        <v>2019111414</v>
      </c>
      <c r="E25" s="3">
        <f t="shared" ca="1" si="1"/>
        <v>2019111424</v>
      </c>
      <c r="F25" s="3">
        <f t="shared" ca="1" si="1"/>
        <v>2019111434</v>
      </c>
      <c r="G25" s="3">
        <f t="shared" ca="1" si="1"/>
        <v>2019111444</v>
      </c>
      <c r="H25" s="3">
        <f t="shared" ca="1" si="1"/>
        <v>2019111454</v>
      </c>
      <c r="I25" s="3">
        <f t="shared" ca="1" si="1"/>
        <v>2019111464</v>
      </c>
      <c r="J25" s="3">
        <f t="shared" ca="1" si="1"/>
        <v>2019111474</v>
      </c>
    </row>
    <row r="26" spans="3:10" hidden="1" x14ac:dyDescent="0.7">
      <c r="C26" s="3">
        <v>5</v>
      </c>
      <c r="D26" s="3">
        <f t="shared" ca="1" si="1"/>
        <v>2019111415</v>
      </c>
      <c r="E26" s="3">
        <f t="shared" ca="1" si="1"/>
        <v>2019111425</v>
      </c>
      <c r="F26" s="3">
        <f t="shared" ca="1" si="1"/>
        <v>2019111435</v>
      </c>
      <c r="G26" s="3">
        <f t="shared" ca="1" si="1"/>
        <v>2019111445</v>
      </c>
      <c r="H26" s="3">
        <f t="shared" ca="1" si="1"/>
        <v>2019111455</v>
      </c>
      <c r="I26" s="3">
        <f t="shared" ca="1" si="1"/>
        <v>2019111465</v>
      </c>
      <c r="J26" s="3">
        <f t="shared" ca="1" si="1"/>
        <v>2019111475</v>
      </c>
    </row>
  </sheetData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581025</xdr:colOff>
                    <xdr:row>6</xdr:row>
                    <xdr:rowOff>433388</xdr:rowOff>
                  </from>
                  <to>
                    <xdr:col>18</xdr:col>
                    <xdr:colOff>333375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604838</xdr:colOff>
                    <xdr:row>3</xdr:row>
                    <xdr:rowOff>57150</xdr:rowOff>
                  </from>
                  <to>
                    <xdr:col>18</xdr:col>
                    <xdr:colOff>290513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614363</xdr:colOff>
                    <xdr:row>7</xdr:row>
                    <xdr:rowOff>571500</xdr:rowOff>
                  </from>
                  <to>
                    <xdr:col>18</xdr:col>
                    <xdr:colOff>314325</xdr:colOff>
                    <xdr:row>9</xdr:row>
                    <xdr:rowOff>309563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566738</xdr:colOff>
                    <xdr:row>5</xdr:row>
                    <xdr:rowOff>366713</xdr:rowOff>
                  </from>
                  <to>
                    <xdr:col>18</xdr:col>
                    <xdr:colOff>314325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33338</xdr:rowOff>
                  </from>
                  <to>
                    <xdr:col>15</xdr:col>
                    <xdr:colOff>133350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19050</xdr:colOff>
                    <xdr:row>3</xdr:row>
                    <xdr:rowOff>571500</xdr:rowOff>
                  </from>
                  <to>
                    <xdr:col>15</xdr:col>
                    <xdr:colOff>200025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9525</xdr:colOff>
                    <xdr:row>4</xdr:row>
                    <xdr:rowOff>190500</xdr:rowOff>
                  </from>
                  <to>
                    <xdr:col>15</xdr:col>
                    <xdr:colOff>200025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19050</xdr:colOff>
                    <xdr:row>4</xdr:row>
                    <xdr:rowOff>733425</xdr:rowOff>
                  </from>
                  <to>
                    <xdr:col>15</xdr:col>
                    <xdr:colOff>185738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352425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757238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314325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1009650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9525</xdr:colOff>
                    <xdr:row>8</xdr:row>
                    <xdr:rowOff>157163</xdr:rowOff>
                  </from>
                  <to>
                    <xdr:col>15</xdr:col>
                    <xdr:colOff>161925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995363</xdr:colOff>
                    <xdr:row>11</xdr:row>
                    <xdr:rowOff>333375</xdr:rowOff>
                  </from>
                  <to>
                    <xdr:col>15</xdr:col>
                    <xdr:colOff>138113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233363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15</xdr:col>
                    <xdr:colOff>123825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133350</xdr:rowOff>
                  </from>
                  <to>
                    <xdr:col>18</xdr:col>
                    <xdr:colOff>280988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57150</xdr:rowOff>
                  </from>
                  <to>
                    <xdr:col>23</xdr:col>
                    <xdr:colOff>490538</xdr:colOff>
                    <xdr:row>9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985838</xdr:colOff>
                    <xdr:row>14</xdr:row>
                    <xdr:rowOff>142875</xdr:rowOff>
                  </from>
                  <to>
                    <xdr:col>15</xdr:col>
                    <xdr:colOff>152400</xdr:colOff>
                    <xdr:row>15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1"/>
  <sheetViews>
    <sheetView showGridLines="0" zoomScaleNormal="100" workbookViewId="0">
      <selection activeCell="G1" sqref="G1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0</v>
      </c>
    </row>
    <row r="2" spans="1:1" ht="180" customHeight="1" x14ac:dyDescent="0.7"/>
    <row r="3" spans="1:1" ht="180" customHeight="1" x14ac:dyDescent="0.7"/>
    <row r="4" spans="1:1" ht="180" customHeight="1" x14ac:dyDescent="0.7"/>
    <row r="5" spans="1:1" ht="180" customHeight="1" x14ac:dyDescent="0.7"/>
    <row r="6" spans="1:1" ht="180" customHeight="1" x14ac:dyDescent="0.7"/>
    <row r="7" spans="1:1" ht="180" customHeight="1" x14ac:dyDescent="0.7"/>
    <row r="8" spans="1:1" ht="180" customHeight="1" x14ac:dyDescent="0.7"/>
    <row r="9" spans="1:1" ht="180" customHeight="1" x14ac:dyDescent="0.7"/>
    <row r="10" spans="1:1" ht="180" customHeight="1" x14ac:dyDescent="0.7"/>
    <row r="11" spans="1:1" ht="180" customHeight="1" x14ac:dyDescent="0.7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3" sqref="F3"/>
    </sheetView>
  </sheetViews>
  <sheetFormatPr defaultRowHeight="17.649999999999999" x14ac:dyDescent="0.7"/>
  <cols>
    <col min="4" max="4" width="13.25" customWidth="1"/>
    <col min="5" max="5" width="67" customWidth="1"/>
    <col min="6" max="6" width="98.375" customWidth="1"/>
    <col min="7" max="7" width="15.62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0</v>
      </c>
      <c r="B2" s="26">
        <v>0</v>
      </c>
      <c r="C2" s="26">
        <v>0</v>
      </c>
      <c r="D2" s="26">
        <v>0</v>
      </c>
      <c r="E2" s="36"/>
      <c r="F2" s="26">
        <v>0</v>
      </c>
    </row>
    <row r="3" spans="1:12" x14ac:dyDescent="0.7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</row>
    <row r="4" spans="1:12" x14ac:dyDescent="0.7">
      <c r="A4" s="26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</row>
    <row r="5" spans="1:12" x14ac:dyDescent="0.7">
      <c r="A5" s="26"/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</row>
    <row r="6" spans="1:12" x14ac:dyDescent="0.7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</row>
    <row r="7" spans="1:12" x14ac:dyDescent="0.7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142875</xdr:rowOff>
                  </from>
                  <to>
                    <xdr:col>8</xdr:col>
                    <xdr:colOff>581025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33"/>
  <sheetViews>
    <sheetView workbookViewId="0">
      <pane ySplit="1" topLeftCell="A20" activePane="bottomLeft" state="frozen"/>
      <selection pane="bottomLeft" activeCell="O45" sqref="O45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95" spans="6:35" s="16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16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18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18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19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19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5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1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5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5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1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5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5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1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5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1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1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5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5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1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19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3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1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5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3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3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6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6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6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6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6" customFormat="1" x14ac:dyDescent="0.7"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6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6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6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6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6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6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6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6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</sheetData>
  <sortState xmlns:xlrd2="http://schemas.microsoft.com/office/spreadsheetml/2017/richdata2" ref="A2:AA233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1" x14ac:dyDescent="0.7">
      <c r="A1">
        <v>20191114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5"/>
  <sheetViews>
    <sheetView workbookViewId="0">
      <selection activeCell="E7" sqref="E7"/>
    </sheetView>
  </sheetViews>
  <sheetFormatPr defaultRowHeight="17.649999999999999" x14ac:dyDescent="0.7"/>
  <cols>
    <col min="1" max="1" width="20.125" style="24" customWidth="1"/>
    <col min="2" max="2" width="17.5" style="24" customWidth="1"/>
    <col min="3" max="3" width="14.2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2" customFormat="1" x14ac:dyDescent="0.7">
      <c r="A34" s="24"/>
      <c r="B34" s="24"/>
    </row>
    <row r="35" spans="1:3" s="22" customFormat="1" x14ac:dyDescent="0.7">
      <c r="A35" s="24"/>
      <c r="B35" s="24"/>
    </row>
    <row r="36" spans="1:3" s="22" customFormat="1" x14ac:dyDescent="0.7">
      <c r="A36" s="24"/>
      <c r="B36" s="24"/>
    </row>
    <row r="37" spans="1:3" s="22" customFormat="1" x14ac:dyDescent="0.7">
      <c r="A37" s="24"/>
      <c r="B37" s="24"/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x14ac:dyDescent="0.7">
      <c r="A54" s="4"/>
      <c r="C54" s="3"/>
      <c r="D54" s="3"/>
    </row>
    <row r="55" spans="1:4" s="22" customFormat="1" x14ac:dyDescent="0.7">
      <c r="A55" s="4"/>
      <c r="B55" s="24"/>
      <c r="C55" s="3"/>
      <c r="D55" s="3"/>
    </row>
    <row r="56" spans="1:4" s="22" customFormat="1" x14ac:dyDescent="0.7">
      <c r="A56" s="4"/>
      <c r="B56" s="24"/>
      <c r="C56" s="3"/>
      <c r="D56" s="3"/>
    </row>
    <row r="57" spans="1:4" s="22" customFormat="1" x14ac:dyDescent="0.7">
      <c r="A57" s="4"/>
      <c r="B57" s="24"/>
      <c r="C57" s="3"/>
      <c r="D57" s="3"/>
    </row>
    <row r="58" spans="1:4" s="22" customFormat="1" x14ac:dyDescent="0.7">
      <c r="A58" s="4"/>
      <c r="B58" s="2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x14ac:dyDescent="0.7">
      <c r="A73" s="4"/>
      <c r="C73" s="3"/>
      <c r="D73" s="3"/>
    </row>
    <row r="74" spans="1:4" x14ac:dyDescent="0.7">
      <c r="A74" s="4"/>
      <c r="C74" s="3"/>
      <c r="D74" s="3"/>
    </row>
    <row r="75" spans="1:4" x14ac:dyDescent="0.7">
      <c r="A75" s="4"/>
      <c r="C75" s="3"/>
      <c r="D75" s="3"/>
    </row>
    <row r="76" spans="1:4" x14ac:dyDescent="0.7">
      <c r="A76" s="4"/>
      <c r="C76" s="3"/>
      <c r="D76" s="3"/>
    </row>
    <row r="77" spans="1:4" x14ac:dyDescent="0.7">
      <c r="A77" s="4"/>
      <c r="C77" s="3"/>
      <c r="D77" s="3"/>
    </row>
    <row r="78" spans="1:4" s="22" customFormat="1" x14ac:dyDescent="0.7">
      <c r="A78" s="4"/>
      <c r="B78" s="24"/>
      <c r="C78" s="3"/>
      <c r="D78" s="3"/>
    </row>
    <row r="79" spans="1:4" s="22" customFormat="1" x14ac:dyDescent="0.7">
      <c r="A79" s="4"/>
      <c r="B79" s="24"/>
      <c r="C79" s="3"/>
      <c r="D79" s="3"/>
    </row>
    <row r="80" spans="1:4" s="22" customFormat="1" x14ac:dyDescent="0.7">
      <c r="A80" s="4"/>
      <c r="B80" s="24"/>
      <c r="C80" s="3"/>
      <c r="D80" s="3"/>
    </row>
    <row r="81" spans="1:4" s="22" customFormat="1" x14ac:dyDescent="0.7">
      <c r="A81" s="4"/>
      <c r="B81" s="2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24"/>
      <c r="B90" s="24"/>
      <c r="C90" s="3"/>
    </row>
    <row r="91" spans="1:4" s="22" customFormat="1" x14ac:dyDescent="0.7">
      <c r="A91" s="24"/>
      <c r="B91" s="24"/>
      <c r="C91" s="3"/>
    </row>
    <row r="92" spans="1:4" s="22" customFormat="1" x14ac:dyDescent="0.7">
      <c r="A92" s="24"/>
      <c r="B92" s="24"/>
      <c r="C92" s="3"/>
    </row>
    <row r="93" spans="1:4" s="22" customFormat="1" x14ac:dyDescent="0.7">
      <c r="A93" s="24"/>
      <c r="B93" s="24"/>
      <c r="C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/>
    </row>
    <row r="97" spans="1:3" s="22" customFormat="1" x14ac:dyDescent="0.7">
      <c r="A97" s="24"/>
      <c r="B97" s="24"/>
      <c r="C97"/>
    </row>
    <row r="98" spans="1:3" s="22" customFormat="1" x14ac:dyDescent="0.7">
      <c r="A98" s="24"/>
      <c r="B98" s="24"/>
      <c r="C98"/>
    </row>
    <row r="99" spans="1:3" s="22" customFormat="1" x14ac:dyDescent="0.7">
      <c r="A99" s="24"/>
      <c r="B99" s="24"/>
      <c r="C99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</sheetData>
  <sortState xmlns:xlrd2="http://schemas.microsoft.com/office/spreadsheetml/2017/richdata2" ref="A2:C145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371475</xdr:colOff>
                    <xdr:row>0</xdr:row>
                    <xdr:rowOff>85725</xdr:rowOff>
                  </from>
                  <to>
                    <xdr:col>5</xdr:col>
                    <xdr:colOff>485775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RowHeight="17.649999999999999" x14ac:dyDescent="0.7"/>
  <cols>
    <col min="1" max="1" width="12.12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2019-11-14T08:21:05Z</dcterms:modified>
</cp:coreProperties>
</file>