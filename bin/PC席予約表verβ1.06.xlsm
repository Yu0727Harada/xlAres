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416ADD4E-8BBC-4B79-B73B-53AE08EA8000}" xr6:coauthVersionLast="41" xr6:coauthVersionMax="45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26" i="4"/>
  <c r="E8" i="4" s="1"/>
  <c r="H23" i="4"/>
  <c r="I25" i="4"/>
  <c r="E23" i="4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D5" i="4"/>
  <c r="G4" i="4"/>
  <c r="G5" i="4"/>
  <c r="AA10" i="4"/>
  <c r="AA8" i="4"/>
  <c r="AB9" i="4"/>
  <c r="AF9" i="4"/>
  <c r="AJ9" i="4"/>
  <c r="AE9" i="4"/>
  <c r="AI9" i="4"/>
  <c r="AD9" i="4"/>
  <c r="AA9" i="4"/>
  <c r="F6" i="4"/>
  <c r="C4" i="4" l="1"/>
  <c r="C8" i="4"/>
  <c r="C7" i="4"/>
  <c r="H8" i="4"/>
  <c r="H5" i="4"/>
  <c r="H4" i="4"/>
  <c r="H7" i="4"/>
  <c r="C6" i="4"/>
  <c r="AE6" i="4"/>
  <c r="AI6" i="4"/>
  <c r="AB6" i="4"/>
  <c r="AC6" i="4"/>
  <c r="AD6" i="4"/>
  <c r="AF6" i="4"/>
  <c r="AJ6" i="4"/>
  <c r="AG6" i="4"/>
  <c r="AH6" i="4"/>
  <c r="AA6" i="4"/>
  <c r="AI7" i="4"/>
  <c r="AB7" i="4"/>
  <c r="AF7" i="4"/>
  <c r="AG7" i="4"/>
  <c r="AH7" i="4"/>
  <c r="AC7" i="4"/>
  <c r="AJ7" i="4"/>
  <c r="AE7" i="4"/>
  <c r="AD7" i="4"/>
  <c r="AA7" i="4"/>
  <c r="G8" i="4"/>
  <c r="AH10" i="4"/>
  <c r="AI10" i="4"/>
  <c r="AJ10" i="4"/>
  <c r="AB10" i="4"/>
  <c r="AC10" i="4"/>
  <c r="AD10" i="4"/>
  <c r="AE10" i="4"/>
  <c r="AF10" i="4"/>
  <c r="AG10" i="4"/>
  <c r="G6" i="4"/>
  <c r="AC8" i="4"/>
  <c r="AD8" i="4"/>
  <c r="AE8" i="4"/>
  <c r="AF8" i="4"/>
  <c r="AJ8" i="4"/>
  <c r="AG8" i="4"/>
  <c r="AH8" i="4"/>
  <c r="AI8" i="4"/>
  <c r="AB8" i="4"/>
  <c r="AG9" i="4"/>
  <c r="AH9" i="4"/>
  <c r="AC9" i="4"/>
  <c r="G7" i="4"/>
</calcChain>
</file>

<file path=xl/sharedStrings.xml><?xml version="1.0" encoding="utf-8"?>
<sst xmlns="http://schemas.openxmlformats.org/spreadsheetml/2006/main" count="149" uniqueCount="96">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</sst>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  <fill>
      <patternFill patternType="solid">
        <fgColor rgb="FFFFA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42" name="Picture 794">
          <a:extLst>
            <a:ext uri="{FF2B5EF4-FFF2-40B4-BE49-F238E27FC236}">
              <a16:creationId xmlns:a16="http://schemas.microsoft.com/office/drawing/2014/main" id="{C2553548-36D0-4149-9F13-6595B84B4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Normal="100" workbookViewId="0">
      <selection activeCell="L16" sqref="L16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43805</v>
      </c>
      <c r="L2" s="50">
        <f ca="1">NOW()-INT(NOW())</f>
        <v>0.62734004629601259</v>
      </c>
      <c r="N2" s="46" t="s">
        <v>85</v>
      </c>
      <c r="U2" s="39"/>
      <c r="AA2" s="36" t="s">
        <v>72</v>
      </c>
      <c r="AB2" s="37"/>
      <c r="AC2" s="34">
        <f ca="1">setting_time(L2)</f>
        <v>5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7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7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7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7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53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>使用中</v>
      </c>
      <c r="H4" s="52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52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5</v>
      </c>
    </row>
    <row r="5" spans="1:36" ht="70.25" customHeight="1" x14ac:dyDescent="0.7">
      <c r="A5" s="27"/>
      <c r="B5" s="13">
        <v>2</v>
      </c>
      <c r="C5" s="47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7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7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7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53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>使用中</v>
      </c>
      <c r="H5" s="52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52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47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7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7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8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53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>使用中</v>
      </c>
      <c r="H6" s="52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52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IFERROR(IF(INDEX(生データ!$D:$D,MATCH(OFFSET($D$22,$Z6-1,$AE$4-1),生データ!$D:$D,1))=OFFSET($D$22,$Z6-1,$AE$4-1),decord_number(VLOOKUP(OFFSET($D$22,$Z6-1,$AE$4-1),生データ!$D:$O,COLUMN(C1),TRUE)),""),"")</f>
        <v>5119001</v>
      </c>
      <c r="AB6" s="34" t="str">
        <f ca="1">IFERROR(IF(INDEX(生データ!$D:$D,MATCH(OFFSET($D$22,$Z6-1,$AE$4-1),生データ!$D:$D,1))=OFFSET($D$22,$Z6-1,$AE$4-1),decord_number(VLOOKUP(OFFSET($D$22,$Z6-1,$AE$4-1),生データ!$D:$O,COLUMN(D1),TRUE)),""),"")</f>
        <v>01119D01</v>
      </c>
      <c r="AC6" s="34" t="str">
        <f ca="1">IFERROR(IF(INDEX(生データ!$D:$D,MATCH(OFFSET($D$22,$Z6-1,$AE$4-1),生データ!$D:$D,1))=OFFSET($D$22,$Z6-1,$AE$4-1),decord_number(VLOOKUP(OFFSET($D$22,$Z6-1,$AE$4-1),生データ!$D:$O,COLUMN(E1),TRUE)),""),"")</f>
        <v>0418M02</v>
      </c>
      <c r="AD6" s="34" t="str">
        <f ca="1">IFERROR(IF(INDEX(生データ!$D:$D,MATCH(OFFSET($D$22,$Z6-1,$AE$4-1),生データ!$D:$D,1))=OFFSET($D$22,$Z6-1,$AE$4-1),decord_number(VLOOKUP(OFFSET($D$22,$Z6-1,$AE$4-1),生データ!$D:$O,COLUMN(F1),TRUE)),""),"")</f>
        <v/>
      </c>
      <c r="AE6" s="34" t="str">
        <f ca="1">IFERROR(IF(INDEX(生データ!$D:$D,MATCH(OFFSET($D$22,$Z6-1,$AE$4-1),生データ!$D:$D,1))=OFFSET($D$22,$Z6-1,$AE$4-1),decord_number(VLOOKUP(OFFSET($D$22,$Z6-1,$AE$4-1),生データ!$D:$O,COLUMN(G1),TRUE)),""),"")</f>
        <v/>
      </c>
      <c r="AF6" s="34" t="str">
        <f ca="1">IFERROR(IF(INDEX(生データ!$D:$D,MATCH(OFFSET($D$22,$Z6-1,$AE$4-1),生データ!$D:$D,1))=OFFSET($D$22,$Z6-1,$AE$4-1),decord_number(VLOOKUP(OFFSET($D$22,$Z6-1,$AE$4-1),生データ!$D:$O,COLUMN(H1),TRUE)),""),"")</f>
        <v/>
      </c>
      <c r="AG6" s="34" t="str">
        <f ca="1">IFERROR(IF(INDEX(生データ!$D:$D,MATCH(OFFSET($D$22,$Z6-1,$AE$4-1),生データ!$D:$D,1))=OFFSET($D$22,$Z6-1,$AE$4-1),decord_number(VLOOKUP(OFFSET($D$22,$Z6-1,$AE$4-1),生データ!$D:$O,COLUMN(I1),TRUE)),""),"")</f>
        <v/>
      </c>
      <c r="AH6" s="34" t="str">
        <f ca="1">IFERROR(IF(INDEX(生データ!$D:$D,MATCH(OFFSET($D$22,$Z6-1,$AE$4-1),生データ!$D:$D,1))=OFFSET($D$22,$Z6-1,$AE$4-1),decord_number(VLOOKUP(OFFSET($D$22,$Z6-1,$AE$4-1),生データ!$D:$O,COLUMN(J1),TRUE)),""),"")</f>
        <v/>
      </c>
      <c r="AI6" s="34" t="str">
        <f ca="1">IFERROR(IF(INDEX(生データ!$D:$D,MATCH(OFFSET($D$22,$Z6-1,$AE$4-1),生データ!$D:$D,1))=OFFSET($D$22,$Z6-1,$AE$4-1),decord_number(VLOOKUP(OFFSET($D$22,$Z6-1,$AE$4-1),生データ!$D:$O,COLUMN(K1),TRUE)),""),"")</f>
        <v/>
      </c>
      <c r="AJ6" s="34" t="str">
        <f ca="1">IFERROR(IF(INDEX(生データ!$D:$D,MATCH(OFFSET($D$22,$Z6-1,$AE$4-1),生データ!$D:$D,1))=OFFSET($D$22,$Z6-1,$AE$4-1),decord_number(VLOOKUP(OFFSET($D$22,$Z6-1,$AE$4-1),生データ!$D:$O,COLUMN(L1),TRUE)),""),"")</f>
        <v/>
      </c>
    </row>
    <row r="7" spans="1:36" ht="70.25" customHeight="1" x14ac:dyDescent="0.7">
      <c r="A7" s="27"/>
      <c r="B7" s="13">
        <v>4</v>
      </c>
      <c r="C7" s="47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7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7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53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>使用中</v>
      </c>
      <c r="H7" s="52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52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IFERROR(IF(INDEX(生データ!$D:$D,MATCH(OFFSET($D$22,$Z7-1,$AE$4-1),生データ!$D:$D,1))=OFFSET($D$22,$Z7-1,$AE$4-1),decord_number(VLOOKUP(OFFSET($D$22,$Z7-1,$AE$4-1),生データ!$D:$O,COLUMN(C2),TRUE)),""),"")</f>
        <v>0119002</v>
      </c>
      <c r="AB7" s="34" t="str">
        <f ca="1">IFERROR(IF(INDEX(生データ!$D:$D,MATCH(OFFSET($D$22,$Z7-1,$AE$4-1),生データ!$D:$D,1))=OFFSET($D$22,$Z7-1,$AE$4-1),decord_number(VLOOKUP(OFFSET($D$22,$Z7-1,$AE$4-1),生データ!$D:$O,COLUMN(D2),TRUE)),""),"")</f>
        <v>0818004</v>
      </c>
      <c r="AC7" s="34" t="str">
        <f ca="1">IFERROR(IF(INDEX(生データ!$D:$D,MATCH(OFFSET($D$22,$Z7-1,$AE$4-1),生データ!$D:$D,1))=OFFSET($D$22,$Z7-1,$AE$4-1),decord_number(VLOOKUP(OFFSET($D$22,$Z7-1,$AE$4-1),生データ!$D:$O,COLUMN(E2),TRUE)),""),"")</f>
        <v>1119001</v>
      </c>
      <c r="AD7" s="34" t="str">
        <f ca="1">IFERROR(IF(INDEX(生データ!$D:$D,MATCH(OFFSET($D$22,$Z7-1,$AE$4-1),生データ!$D:$D,1))=OFFSET($D$22,$Z7-1,$AE$4-1),decord_number(VLOOKUP(OFFSET($D$22,$Z7-1,$AE$4-1),生データ!$D:$O,COLUMN(F2),TRUE)),""),"")</f>
        <v>0119M01</v>
      </c>
      <c r="AE7" s="34" t="str">
        <f ca="1">IFERROR(IF(INDEX(生データ!$D:$D,MATCH(OFFSET($D$22,$Z7-1,$AE$4-1),生データ!$D:$D,1))=OFFSET($D$22,$Z7-1,$AE$4-1),decord_number(VLOOKUP(OFFSET($D$22,$Z7-1,$AE$4-1),生データ!$D:$O,COLUMN(G2),TRUE)),""),"")</f>
        <v>6219M01</v>
      </c>
      <c r="AF7" s="34" t="str">
        <f ca="1">IFERROR(IF(INDEX(生データ!$D:$D,MATCH(OFFSET($D$22,$Z7-1,$AE$4-1),生データ!$D:$D,1))=OFFSET($D$22,$Z7-1,$AE$4-1),decord_number(VLOOKUP(OFFSET($D$22,$Z7-1,$AE$4-1),生データ!$D:$O,COLUMN(H2),TRUE)),""),"")</f>
        <v>5119001</v>
      </c>
      <c r="AG7" s="34" t="str">
        <f ca="1">IFERROR(IF(INDEX(生データ!$D:$D,MATCH(OFFSET($D$22,$Z7-1,$AE$4-1),生データ!$D:$D,1))=OFFSET($D$22,$Z7-1,$AE$4-1),decord_number(VLOOKUP(OFFSET($D$22,$Z7-1,$AE$4-1),生データ!$D:$O,COLUMN(I2),TRUE)),""),"")</f>
        <v/>
      </c>
      <c r="AH7" s="34" t="str">
        <f ca="1">IFERROR(IF(INDEX(生データ!$D:$D,MATCH(OFFSET($D$22,$Z7-1,$AE$4-1),生データ!$D:$D,1))=OFFSET($D$22,$Z7-1,$AE$4-1),decord_number(VLOOKUP(OFFSET($D$22,$Z7-1,$AE$4-1),生データ!$D:$O,COLUMN(J2),TRUE)),""),"")</f>
        <v/>
      </c>
      <c r="AI7" s="34" t="str">
        <f ca="1">IFERROR(IF(INDEX(生データ!$D:$D,MATCH(OFFSET($D$22,$Z7-1,$AE$4-1),生データ!$D:$D,1))=OFFSET($D$22,$Z7-1,$AE$4-1),decord_number(VLOOKUP(OFFSET($D$22,$Z7-1,$AE$4-1),生データ!$D:$O,COLUMN(K2),TRUE)),""),"")</f>
        <v/>
      </c>
      <c r="AJ7" s="34" t="str">
        <f ca="1">IFERROR(IF(INDEX(生データ!$D:$D,MATCH(OFFSET($D$22,$Z7-1,$AE$4-1),生データ!$D:$D,1))=OFFSET($D$22,$Z7-1,$AE$4-1),decord_number(VLOOKUP(OFFSET($D$22,$Z7-1,$AE$4-1),生データ!$D:$O,COLUMN(L2),TRUE)),""),"")</f>
        <v/>
      </c>
    </row>
    <row r="8" spans="1:36" ht="70.25" customHeight="1" x14ac:dyDescent="0.7">
      <c r="A8" s="12"/>
      <c r="B8" s="13">
        <v>5</v>
      </c>
      <c r="C8" s="47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7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7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7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53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>使用中</v>
      </c>
      <c r="H8" s="52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52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IFERROR(IF(INDEX(生データ!$D:$D,MATCH(OFFSET($D$22,$Z8-1,$AE$4-1),生データ!$D:$D,1))=OFFSET($D$22,$Z8-1,$AE$4-1),decord_number(VLOOKUP(OFFSET($D$22,$Z8-1,$AE$4-1),生データ!$D:$O,COLUMN(C3),TRUE)),""),"")</f>
        <v>5715043</v>
      </c>
      <c r="AB8" s="34" t="str">
        <f ca="1">IFERROR(IF(INDEX(生データ!$D:$D,MATCH(OFFSET($D$22,$Z8-1,$AE$4-1),生データ!$D:$D,1))=OFFSET($D$22,$Z8-1,$AE$4-1),decord_number(VLOOKUP(OFFSET($D$22,$Z8-1,$AE$4-1),生データ!$D:$O,COLUMN(D3),TRUE)),""),"")</f>
        <v>5119M33</v>
      </c>
      <c r="AC8" s="34" t="str">
        <f ca="1">IFERROR(IF(INDEX(生データ!$D:$D,MATCH(OFFSET($D$22,$Z8-1,$AE$4-1),生データ!$D:$D,1))=OFFSET($D$22,$Z8-1,$AE$4-1),decord_number(VLOOKUP(OFFSET($D$22,$Z8-1,$AE$4-1),生データ!$D:$O,COLUMN(E3),TRUE)),""),"")</f>
        <v/>
      </c>
      <c r="AD8" s="34" t="str">
        <f ca="1">IFERROR(IF(INDEX(生データ!$D:$D,MATCH(OFFSET($D$22,$Z8-1,$AE$4-1),生データ!$D:$D,1))=OFFSET($D$22,$Z8-1,$AE$4-1),decord_number(VLOOKUP(OFFSET($D$22,$Z8-1,$AE$4-1),生データ!$D:$O,COLUMN(F3),TRUE)),""),"")</f>
        <v/>
      </c>
      <c r="AE8" s="34" t="str">
        <f ca="1">IFERROR(IF(INDEX(生データ!$D:$D,MATCH(OFFSET($D$22,$Z8-1,$AE$4-1),生データ!$D:$D,1))=OFFSET($D$22,$Z8-1,$AE$4-1),decord_number(VLOOKUP(OFFSET($D$22,$Z8-1,$AE$4-1),生データ!$D:$O,COLUMN(G3),TRUE)),""),"")</f>
        <v/>
      </c>
      <c r="AF8" s="34" t="str">
        <f ca="1">IFERROR(IF(INDEX(生データ!$D:$D,MATCH(OFFSET($D$22,$Z8-1,$AE$4-1),生データ!$D:$D,1))=OFFSET($D$22,$Z8-1,$AE$4-1),decord_number(VLOOKUP(OFFSET($D$22,$Z8-1,$AE$4-1),生データ!$D:$O,COLUMN(H3),TRUE)),""),"")</f>
        <v/>
      </c>
      <c r="AG8" s="34" t="str">
        <f ca="1">IFERROR(IF(INDEX(生データ!$D:$D,MATCH(OFFSET($D$22,$Z8-1,$AE$4-1),生データ!$D:$D,1))=OFFSET($D$22,$Z8-1,$AE$4-1),decord_number(VLOOKUP(OFFSET($D$22,$Z8-1,$AE$4-1),生データ!$D:$O,COLUMN(I3),TRUE)),""),"")</f>
        <v/>
      </c>
      <c r="AH8" s="34" t="str">
        <f ca="1">IFERROR(IF(INDEX(生データ!$D:$D,MATCH(OFFSET($D$22,$Z8-1,$AE$4-1),生データ!$D:$D,1))=OFFSET($D$22,$Z8-1,$AE$4-1),decord_number(VLOOKUP(OFFSET($D$22,$Z8-1,$AE$4-1),生データ!$D:$O,COLUMN(J3),TRUE)),""),"")</f>
        <v/>
      </c>
      <c r="AI8" s="34" t="str">
        <f ca="1">IFERROR(IF(INDEX(生データ!$D:$D,MATCH(OFFSET($D$22,$Z8-1,$AE$4-1),生データ!$D:$D,1))=OFFSET($D$22,$Z8-1,$AE$4-1),decord_number(VLOOKUP(OFFSET($D$22,$Z8-1,$AE$4-1),生データ!$D:$O,COLUMN(K3),TRUE)),""),"")</f>
        <v/>
      </c>
      <c r="AJ8" s="34" t="str">
        <f ca="1">IFERROR(IF(INDEX(生データ!$D:$D,MATCH(OFFSET($D$22,$Z8-1,$AE$4-1),生データ!$D:$D,1))=OFFSET($D$22,$Z8-1,$AE$4-1),decord_number(VLOOKUP(OFFSET($D$22,$Z8-1,$AE$4-1),生データ!$D:$O,COLUMN(L3),TRUE)),""),"")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IFERROR(IF(INDEX(生データ!$D:$D,MATCH(OFFSET($D$22,$Z9-1,$AE$4-1),生データ!$D:$D,1))=OFFSET($D$22,$Z9-1,$AE$4-1),decord_number(VLOOKUP(OFFSET($D$22,$Z9-1,$AE$4-1),生データ!$D:$O,COLUMN(C4),TRUE)),""),"")</f>
        <v>6219M15</v>
      </c>
      <c r="AB9" s="34" t="str">
        <f ca="1">IFERROR(IF(INDEX(生データ!$D:$D,MATCH(OFFSET($D$22,$Z9-1,$AE$4-1),生データ!$D:$D,1))=OFFSET($D$22,$Z9-1,$AE$4-1),decord_number(VLOOKUP(OFFSET($D$22,$Z9-1,$AE$4-1),生データ!$D:$O,COLUMN(D4),TRUE)),""),"")</f>
        <v>0119002</v>
      </c>
      <c r="AC9" s="34" t="str">
        <f ca="1">IFERROR(IF(INDEX(生データ!$D:$D,MATCH(OFFSET($D$22,$Z9-1,$AE$4-1),生データ!$D:$D,1))=OFFSET($D$22,$Z9-1,$AE$4-1),decord_number(VLOOKUP(OFFSET($D$22,$Z9-1,$AE$4-1),生データ!$D:$O,COLUMN(E4),TRUE)),""),"")</f>
        <v>5219001</v>
      </c>
      <c r="AD9" s="34" t="str">
        <f ca="1">IFERROR(IF(INDEX(生データ!$D:$D,MATCH(OFFSET($D$22,$Z9-1,$AE$4-1),生データ!$D:$D,1))=OFFSET($D$22,$Z9-1,$AE$4-1),decord_number(VLOOKUP(OFFSET($D$22,$Z9-1,$AE$4-1),生データ!$D:$O,COLUMN(F4),TRUE)),""),"")</f>
        <v/>
      </c>
      <c r="AE9" s="34" t="str">
        <f ca="1">IFERROR(IF(INDEX(生データ!$D:$D,MATCH(OFFSET($D$22,$Z9-1,$AE$4-1),生データ!$D:$D,1))=OFFSET($D$22,$Z9-1,$AE$4-1),decord_number(VLOOKUP(OFFSET($D$22,$Z9-1,$AE$4-1),生データ!$D:$O,COLUMN(G4),TRUE)),""),"")</f>
        <v/>
      </c>
      <c r="AF9" s="34" t="str">
        <f ca="1">IFERROR(IF(INDEX(生データ!$D:$D,MATCH(OFFSET($D$22,$Z9-1,$AE$4-1),生データ!$D:$D,1))=OFFSET($D$22,$Z9-1,$AE$4-1),decord_number(VLOOKUP(OFFSET($D$22,$Z9-1,$AE$4-1),生データ!$D:$O,COLUMN(H4),TRUE)),""),"")</f>
        <v/>
      </c>
      <c r="AG9" s="34" t="str">
        <f ca="1">IFERROR(IF(INDEX(生データ!$D:$D,MATCH(OFFSET($D$22,$Z9-1,$AE$4-1),生データ!$D:$D,1))=OFFSET($D$22,$Z9-1,$AE$4-1),decord_number(VLOOKUP(OFFSET($D$22,$Z9-1,$AE$4-1),生データ!$D:$O,COLUMN(I4),TRUE)),""),"")</f>
        <v/>
      </c>
      <c r="AH9" s="34" t="str">
        <f ca="1">IFERROR(IF(INDEX(生データ!$D:$D,MATCH(OFFSET($D$22,$Z9-1,$AE$4-1),生データ!$D:$D,1))=OFFSET($D$22,$Z9-1,$AE$4-1),decord_number(VLOOKUP(OFFSET($D$22,$Z9-1,$AE$4-1),生データ!$D:$O,COLUMN(J4),TRUE)),""),"")</f>
        <v/>
      </c>
      <c r="AI9" s="34" t="str">
        <f ca="1">IFERROR(IF(INDEX(生データ!$D:$D,MATCH(OFFSET($D$22,$Z9-1,$AE$4-1),生データ!$D:$D,1))=OFFSET($D$22,$Z9-1,$AE$4-1),decord_number(VLOOKUP(OFFSET($D$22,$Z9-1,$AE$4-1),生データ!$D:$O,COLUMN(K4),TRUE)),""),"")</f>
        <v/>
      </c>
      <c r="AJ9" s="34" t="str">
        <f ca="1">IFERROR(IF(INDEX(生データ!$D:$D,MATCH(OFFSET($D$22,$Z9-1,$AE$4-1),生データ!$D:$D,1))=OFFSET($D$22,$Z9-1,$AE$4-1),decord_number(VLOOKUP(OFFSET($D$22,$Z9-1,$AE$4-1),生データ!$D:$O,COLUMN(L4),TRUE)),""),"")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IFERROR(IF(INDEX(生データ!$D:$D,MATCH(OFFSET($D$22,$Z10-1,$AE$4-1),生データ!$D:$D,1))=OFFSET($D$22,$Z10-1,$AE$4-1),decord_number(VLOOKUP(OFFSET($D$22,$Z10-1,$AE$4-1),生データ!$D:$O,COLUMN(C5),TRUE)),""),"")</f>
        <v>0118002</v>
      </c>
      <c r="AB10" s="34" t="str">
        <f ca="1">IFERROR(IF(INDEX(生データ!$D:$D,MATCH(OFFSET($D$22,$Z10-1,$AE$4-1),生データ!$D:$D,1))=OFFSET($D$22,$Z10-1,$AE$4-1),decord_number(VLOOKUP(OFFSET($D$22,$Z10-1,$AE$4-1),生データ!$D:$O,COLUMN(D5),TRUE)),""),"")</f>
        <v/>
      </c>
      <c r="AC10" s="34" t="str">
        <f ca="1">IFERROR(IF(INDEX(生データ!$D:$D,MATCH(OFFSET($D$22,$Z10-1,$AE$4-1),生データ!$D:$D,1))=OFFSET($D$22,$Z10-1,$AE$4-1),decord_number(VLOOKUP(OFFSET($D$22,$Z10-1,$AE$4-1),生データ!$D:$O,COLUMN(E5),TRUE)),""),"")</f>
        <v/>
      </c>
      <c r="AD10" s="34" t="str">
        <f ca="1">IFERROR(IF(INDEX(生データ!$D:$D,MATCH(OFFSET($D$22,$Z10-1,$AE$4-1),生データ!$D:$D,1))=OFFSET($D$22,$Z10-1,$AE$4-1),decord_number(VLOOKUP(OFFSET($D$22,$Z10-1,$AE$4-1),生データ!$D:$O,COLUMN(F5),TRUE)),""),"")</f>
        <v/>
      </c>
      <c r="AE10" s="34" t="str">
        <f ca="1">IFERROR(IF(INDEX(生データ!$D:$D,MATCH(OFFSET($D$22,$Z10-1,$AE$4-1),生データ!$D:$D,1))=OFFSET($D$22,$Z10-1,$AE$4-1),decord_number(VLOOKUP(OFFSET($D$22,$Z10-1,$AE$4-1),生データ!$D:$O,COLUMN(G5),TRUE)),""),"")</f>
        <v/>
      </c>
      <c r="AF10" s="34" t="str">
        <f ca="1">IFERROR(IF(INDEX(生データ!$D:$D,MATCH(OFFSET($D$22,$Z10-1,$AE$4-1),生データ!$D:$D,1))=OFFSET($D$22,$Z10-1,$AE$4-1),decord_number(VLOOKUP(OFFSET($D$22,$Z10-1,$AE$4-1),生データ!$D:$O,COLUMN(H5),TRUE)),""),"")</f>
        <v/>
      </c>
      <c r="AG10" s="34" t="str">
        <f ca="1">IFERROR(IF(INDEX(生データ!$D:$D,MATCH(OFFSET($D$22,$Z10-1,$AE$4-1),生データ!$D:$D,1))=OFFSET($D$22,$Z10-1,$AE$4-1),decord_number(VLOOKUP(OFFSET($D$22,$Z10-1,$AE$4-1),生データ!$D:$O,COLUMN(I5),TRUE)),""),"")</f>
        <v/>
      </c>
      <c r="AH10" s="34" t="str">
        <f ca="1">IFERROR(IF(INDEX(生データ!$D:$D,MATCH(OFFSET($D$22,$Z10-1,$AE$4-1),生データ!$D:$D,1))=OFFSET($D$22,$Z10-1,$AE$4-1),decord_number(VLOOKUP(OFFSET($D$22,$Z10-1,$AE$4-1),生データ!$D:$O,COLUMN(J5),TRUE)),""),"")</f>
        <v/>
      </c>
      <c r="AI10" s="34" t="str">
        <f ca="1">IFERROR(IF(INDEX(生データ!$D:$D,MATCH(OFFSET($D$22,$Z10-1,$AE$4-1),生データ!$D:$D,1))=OFFSET($D$22,$Z10-1,$AE$4-1),decord_number(VLOOKUP(OFFSET($D$22,$Z10-1,$AE$4-1),生データ!$D:$O,COLUMN(K5),TRUE)),""),"")</f>
        <v/>
      </c>
      <c r="AJ10" s="34" t="str">
        <f ca="1">IFERROR(IF(INDEX(生データ!$D:$D,MATCH(OFFSET($D$22,$Z10-1,$AE$4-1),生データ!$D:$D,1))=OFFSET($D$22,$Z10-1,$AE$4-1),decord_number(VLOOKUP(OFFSET($D$22,$Z10-1,$AE$4-1),生データ!$D:$O,COLUMN(L5),TRUE)),""),"")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20191206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2019120611</v>
      </c>
      <c r="E22" s="3">
        <f t="shared" ref="E22:J22" ca="1" si="0">$C$21*100+E$21*10+$C22</f>
        <v>2019120621</v>
      </c>
      <c r="F22" s="3">
        <f t="shared" ca="1" si="0"/>
        <v>2019120631</v>
      </c>
      <c r="G22" s="3">
        <f t="shared" ca="1" si="0"/>
        <v>2019120641</v>
      </c>
      <c r="H22" s="3">
        <f t="shared" ca="1" si="0"/>
        <v>2019120651</v>
      </c>
      <c r="I22" s="3">
        <f t="shared" ca="1" si="0"/>
        <v>2019120661</v>
      </c>
      <c r="J22" s="3">
        <f t="shared" ca="1" si="0"/>
        <v>2019120671</v>
      </c>
    </row>
    <row r="23" spans="3:10" hidden="1" x14ac:dyDescent="0.7">
      <c r="C23" s="3">
        <v>2</v>
      </c>
      <c r="D23" s="3">
        <f t="shared" ref="D23:J26" ca="1" si="1">$C$21*100+D$21*10+$C23</f>
        <v>2019120612</v>
      </c>
      <c r="E23" s="3">
        <f t="shared" ca="1" si="1"/>
        <v>2019120622</v>
      </c>
      <c r="F23" s="3">
        <f t="shared" ca="1" si="1"/>
        <v>2019120632</v>
      </c>
      <c r="G23" s="3">
        <f t="shared" ca="1" si="1"/>
        <v>2019120642</v>
      </c>
      <c r="H23" s="3">
        <f t="shared" ca="1" si="1"/>
        <v>2019120652</v>
      </c>
      <c r="I23" s="3">
        <f t="shared" ca="1" si="1"/>
        <v>2019120662</v>
      </c>
      <c r="J23" s="3">
        <f t="shared" ca="1" si="1"/>
        <v>2019120672</v>
      </c>
    </row>
    <row r="24" spans="3:10" hidden="1" x14ac:dyDescent="0.7">
      <c r="C24" s="3">
        <v>3</v>
      </c>
      <c r="D24" s="3">
        <f t="shared" ca="1" si="1"/>
        <v>2019120613</v>
      </c>
      <c r="E24" s="3">
        <f t="shared" ca="1" si="1"/>
        <v>2019120623</v>
      </c>
      <c r="F24" s="3">
        <f t="shared" ca="1" si="1"/>
        <v>2019120633</v>
      </c>
      <c r="G24" s="3">
        <f t="shared" ca="1" si="1"/>
        <v>2019120643</v>
      </c>
      <c r="H24" s="3">
        <f t="shared" ca="1" si="1"/>
        <v>2019120653</v>
      </c>
      <c r="I24" s="3">
        <f t="shared" ca="1" si="1"/>
        <v>2019120663</v>
      </c>
      <c r="J24" s="3">
        <f t="shared" ca="1" si="1"/>
        <v>2019120673</v>
      </c>
    </row>
    <row r="25" spans="3:10" hidden="1" x14ac:dyDescent="0.7">
      <c r="C25" s="3">
        <v>4</v>
      </c>
      <c r="D25" s="3">
        <f t="shared" ca="1" si="1"/>
        <v>2019120614</v>
      </c>
      <c r="E25" s="3">
        <f t="shared" ca="1" si="1"/>
        <v>2019120624</v>
      </c>
      <c r="F25" s="3">
        <f t="shared" ca="1" si="1"/>
        <v>2019120634</v>
      </c>
      <c r="G25" s="3">
        <f t="shared" ca="1" si="1"/>
        <v>2019120644</v>
      </c>
      <c r="H25" s="3">
        <f t="shared" ca="1" si="1"/>
        <v>2019120654</v>
      </c>
      <c r="I25" s="3">
        <f t="shared" ca="1" si="1"/>
        <v>2019120664</v>
      </c>
      <c r="J25" s="3">
        <f t="shared" ca="1" si="1"/>
        <v>2019120674</v>
      </c>
    </row>
    <row r="26" spans="3:10" hidden="1" x14ac:dyDescent="0.7">
      <c r="C26" s="3">
        <v>5</v>
      </c>
      <c r="D26" s="3">
        <f t="shared" ca="1" si="1"/>
        <v>2019120615</v>
      </c>
      <c r="E26" s="3">
        <f t="shared" ca="1" si="1"/>
        <v>2019120625</v>
      </c>
      <c r="F26" s="3">
        <f t="shared" ca="1" si="1"/>
        <v>2019120635</v>
      </c>
      <c r="G26" s="3">
        <f t="shared" ca="1" si="1"/>
        <v>2019120645</v>
      </c>
      <c r="H26" s="3">
        <f t="shared" ca="1" si="1"/>
        <v>2019120655</v>
      </c>
      <c r="I26" s="3">
        <f t="shared" ca="1" si="1"/>
        <v>2019120665</v>
      </c>
      <c r="J26" s="3">
        <f t="shared" ca="1" si="1"/>
        <v>2019120675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53"/>
  <sheetViews>
    <sheetView workbookViewId="0">
      <pane ySplit="1" topLeftCell="A38" activePane="bottomLeft" state="frozen"/>
      <selection pane="bottomLeft" activeCell="H69" sqref="H69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1:35" s="26" customFormat="1" x14ac:dyDescent="0.7">
      <c r="A67" s="26">
        <v>20191203</v>
      </c>
      <c r="B67" s="26">
        <v>4</v>
      </c>
      <c r="C67" s="26">
        <v>4</v>
      </c>
      <c r="D67" s="26">
        <v>2019120344</v>
      </c>
      <c r="E67" s="26">
        <v>0</v>
      </c>
      <c r="F67" s="2">
        <v>342599567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68" spans="1:35" s="26" customFormat="1" x14ac:dyDescent="0.7">
      <c r="A68" s="26">
        <v>20191206</v>
      </c>
      <c r="B68" s="26">
        <v>4</v>
      </c>
      <c r="C68" s="26">
        <v>3</v>
      </c>
      <c r="D68" s="26">
        <v>2019120643</v>
      </c>
      <c r="E68" s="26">
        <v>0</v>
      </c>
      <c r="F68" s="2">
        <v>152517043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</row>
    <row r="69" spans="1:35" s="26" customFormat="1" x14ac:dyDescent="0.7">
      <c r="A69" s="26">
        <v>20191206</v>
      </c>
      <c r="B69" s="26">
        <v>5</v>
      </c>
      <c r="C69" s="26">
        <v>1</v>
      </c>
      <c r="D69" s="26">
        <v>2019120651</v>
      </c>
      <c r="E69" s="26">
        <v>0</v>
      </c>
      <c r="F69" s="2">
        <v>192511001</v>
      </c>
      <c r="G69" s="2">
        <v>192011001</v>
      </c>
      <c r="H69" s="2">
        <v>182004002</v>
      </c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</row>
    <row r="70" spans="1:35" s="26" customFormat="1" x14ac:dyDescent="0.7">
      <c r="A70" s="26">
        <v>20191206</v>
      </c>
      <c r="B70" s="26">
        <v>5</v>
      </c>
      <c r="C70" s="26">
        <v>2</v>
      </c>
      <c r="D70" s="26">
        <v>2019120652</v>
      </c>
      <c r="E70" s="26">
        <v>0</v>
      </c>
      <c r="F70" s="2">
        <v>192501002</v>
      </c>
      <c r="G70" s="2">
        <v>182508004</v>
      </c>
      <c r="H70" s="2">
        <v>192521001</v>
      </c>
      <c r="I70" s="2">
        <v>192001001</v>
      </c>
      <c r="J70" s="2">
        <v>192202001</v>
      </c>
      <c r="K70" s="2">
        <v>192511001</v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</row>
    <row r="71" spans="1:35" s="26" customFormat="1" x14ac:dyDescent="0.7">
      <c r="A71" s="26">
        <v>20191206</v>
      </c>
      <c r="B71" s="26">
        <v>5</v>
      </c>
      <c r="C71" s="26">
        <v>3</v>
      </c>
      <c r="D71" s="26">
        <v>2019120653</v>
      </c>
      <c r="E71" s="26">
        <v>0</v>
      </c>
      <c r="F71" s="2">
        <v>152517043</v>
      </c>
      <c r="G71" s="2">
        <v>192101033</v>
      </c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</row>
    <row r="72" spans="1:35" s="26" customFormat="1" x14ac:dyDescent="0.7">
      <c r="A72" s="26">
        <v>20191206</v>
      </c>
      <c r="B72" s="26">
        <v>5</v>
      </c>
      <c r="C72" s="26">
        <v>4</v>
      </c>
      <c r="D72" s="26">
        <v>2019120654</v>
      </c>
      <c r="E72" s="26">
        <v>0</v>
      </c>
      <c r="F72" s="2">
        <v>192202015</v>
      </c>
      <c r="G72" s="2">
        <v>192501002</v>
      </c>
      <c r="H72" s="2">
        <v>192512001</v>
      </c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</row>
    <row r="73" spans="1:35" s="26" customFormat="1" x14ac:dyDescent="0.7">
      <c r="A73" s="26">
        <v>20191206</v>
      </c>
      <c r="B73" s="26">
        <v>5</v>
      </c>
      <c r="C73" s="26">
        <v>5</v>
      </c>
      <c r="D73" s="26">
        <v>2019120655</v>
      </c>
      <c r="E73" s="26">
        <v>0</v>
      </c>
      <c r="F73" s="2">
        <v>182501002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</row>
    <row r="115" spans="6:35" s="16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16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18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18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19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19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1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5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5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1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5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1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1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5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1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19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5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3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1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1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5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5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3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3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1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  <row r="247" spans="6:35" s="26" customFormat="1" x14ac:dyDescent="0.7"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</row>
    <row r="248" spans="6:35" s="26" customFormat="1" x14ac:dyDescent="0.7"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</row>
    <row r="249" spans="6:35" s="26" customFormat="1" x14ac:dyDescent="0.7"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</row>
    <row r="250" spans="6:35" s="26" customFormat="1" x14ac:dyDescent="0.7"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</row>
    <row r="251" spans="6:35" s="26" customFormat="1" x14ac:dyDescent="0.7"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</row>
    <row r="252" spans="6:35" s="26" customFormat="1" x14ac:dyDescent="0.7"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</row>
    <row r="253" spans="6:35" s="26" customFormat="1" x14ac:dyDescent="0.7"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</row>
  </sheetData>
  <sortState xmlns:xlrd2="http://schemas.microsoft.com/office/spreadsheetml/2017/richdata2" ref="A2:AA25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4"/>
  <sheetViews>
    <sheetView workbookViewId="0">
      <selection activeCell="D42" sqref="D4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20191206</v>
      </c>
      <c r="B1">
        <v>20191206</v>
      </c>
    </row>
    <row r="2" spans="1:2" s="26" customFormat="1" x14ac:dyDescent="0.7">
      <c r="A2" s="26">
        <v>152517043</v>
      </c>
      <c r="B2" s="26">
        <v>2</v>
      </c>
    </row>
    <row r="3" spans="1:2" s="26" customFormat="1" x14ac:dyDescent="0.7">
      <c r="A3" s="26">
        <v>182004002</v>
      </c>
      <c r="B3" s="26">
        <v>1</v>
      </c>
    </row>
    <row r="4" spans="1:2" s="26" customFormat="1" x14ac:dyDescent="0.7">
      <c r="A4" s="26">
        <v>182501002</v>
      </c>
      <c r="B4" s="26">
        <v>1</v>
      </c>
    </row>
    <row r="5" spans="1:2" s="26" customFormat="1" x14ac:dyDescent="0.7">
      <c r="A5" s="26">
        <v>182508004</v>
      </c>
      <c r="B5" s="26">
        <v>1</v>
      </c>
    </row>
    <row r="6" spans="1:2" s="26" customFormat="1" x14ac:dyDescent="0.7">
      <c r="A6" s="26">
        <v>192001001</v>
      </c>
      <c r="B6" s="26">
        <v>1</v>
      </c>
    </row>
    <row r="7" spans="1:2" s="26" customFormat="1" x14ac:dyDescent="0.7">
      <c r="A7" s="26">
        <v>192011001</v>
      </c>
      <c r="B7" s="26">
        <v>1</v>
      </c>
    </row>
    <row r="8" spans="1:2" s="26" customFormat="1" x14ac:dyDescent="0.7">
      <c r="A8" s="26">
        <v>192101033</v>
      </c>
      <c r="B8" s="26">
        <v>1</v>
      </c>
    </row>
    <row r="9" spans="1:2" s="26" customFormat="1" x14ac:dyDescent="0.7">
      <c r="A9" s="26">
        <v>192202001</v>
      </c>
      <c r="B9" s="26">
        <v>1</v>
      </c>
    </row>
    <row r="10" spans="1:2" s="26" customFormat="1" x14ac:dyDescent="0.7">
      <c r="A10" s="26">
        <v>192202015</v>
      </c>
      <c r="B10" s="26">
        <v>1</v>
      </c>
    </row>
    <row r="11" spans="1:2" s="26" customFormat="1" x14ac:dyDescent="0.7">
      <c r="A11" s="26">
        <v>192501002</v>
      </c>
      <c r="B11" s="26">
        <v>2</v>
      </c>
    </row>
    <row r="12" spans="1:2" s="26" customFormat="1" x14ac:dyDescent="0.7">
      <c r="A12" s="26">
        <v>192511001</v>
      </c>
      <c r="B12" s="26">
        <v>2</v>
      </c>
    </row>
    <row r="13" spans="1:2" s="26" customFormat="1" x14ac:dyDescent="0.7">
      <c r="A13" s="26">
        <v>192512001</v>
      </c>
      <c r="B13" s="26">
        <v>1</v>
      </c>
    </row>
    <row r="14" spans="1:2" s="26" customFormat="1" x14ac:dyDescent="0.7">
      <c r="A14" s="26">
        <v>192521001</v>
      </c>
      <c r="B14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H30" sqref="H30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2019-12-06T06:06:51Z</dcterms:modified>
</cp:coreProperties>
</file>