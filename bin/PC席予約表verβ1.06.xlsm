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mc:AlternateContent xmlns:mc="http://schemas.openxmlformats.org/markup-compatibility/2006">
    <mc:Choice Requires="x15">
      <x15ac:absPath xmlns:x15ac="http://schemas.microsoft.com/office/spreadsheetml/2010/11/ac" url="C:\Github\PCresrveSystem\bin\"/>
    </mc:Choice>
  </mc:AlternateContent>
  <xr:revisionPtr revIDLastSave="0" documentId="13_ncr:1_{717BE574-F43B-43DE-B24D-51AB08E6A911}" xr6:coauthVersionLast="44" xr6:coauthVersionMax="44" xr10:uidLastSave="{00000000-0000-0000-0000-000000000000}"/>
  <workbookProtection lockStructure="1"/>
  <bookViews>
    <workbookView xWindow="-110" yWindow="-110" windowWidth="18220" windowHeight="11620" xr2:uid="{00000000-000D-0000-FFFF-FFFF00000000}"/>
  </bookViews>
  <sheets>
    <sheet name="メイン" sheetId="4" r:id="rId1"/>
    <sheet name="出力" sheetId="15" r:id="rId2"/>
    <sheet name="入力" sheetId="16" r:id="rId3"/>
    <sheet name="生データ" sheetId="2" r:id="rId4"/>
    <sheet name="重複チェック" sheetId="7" r:id="rId5"/>
    <sheet name="学科コード表" sheetId="14" r:id="rId6"/>
    <sheet name="シフト表" sheetId="17" r:id="rId7"/>
    <sheet name="連絡事項" sheetId="13" r:id="rId8"/>
  </sheets>
  <definedNames>
    <definedName name="sample">INDEX(出力!$B$1:$B$13,MATCH(メイン!$O$1,出力!$A$1:$A$13,1))</definedName>
    <definedName name="sample2">INDEX(出力!$B$1:$B$13,MATCH(メイン!$P$1,出力!$A$1:$A$13,1))</definedName>
  </definedNames>
  <calcPr calcId="191029"/>
  <extLst>
    <ext xmlns:x14="http://schemas.microsoft.com/office/spreadsheetml/2009/9/main" uri="{79F54976-1DA5-4618-B147-4CDE4B953A38}">
      <x14:workbookPr discardImageEditData="1"/>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2" i="4" l="1"/>
  <c r="R4" i="14" l="1"/>
  <c r="Q5" i="14"/>
  <c r="Q4" i="14" l="1"/>
  <c r="K2" i="4" l="1"/>
  <c r="C21" i="4" l="1"/>
  <c r="E22" i="4" s="1"/>
  <c r="D4" i="4" s="1"/>
  <c r="D23" i="4" l="1"/>
  <c r="C5" i="4" s="1"/>
  <c r="F22" i="4"/>
  <c r="E4" i="4" s="1"/>
  <c r="J24" i="4"/>
  <c r="I6" i="4" s="1"/>
  <c r="G24" i="4"/>
  <c r="F6" i="4" s="1"/>
  <c r="F26" i="4"/>
  <c r="E8" i="4" s="1"/>
  <c r="H23" i="4"/>
  <c r="G5" i="4" s="1"/>
  <c r="I25" i="4"/>
  <c r="H7" i="4" s="1"/>
  <c r="E23" i="4"/>
  <c r="D5" i="4" s="1"/>
  <c r="D24" i="4"/>
  <c r="C6" i="4" s="1"/>
  <c r="J26" i="4"/>
  <c r="I8" i="4" s="1"/>
  <c r="H25" i="4"/>
  <c r="G7" i="4" s="1"/>
  <c r="F24" i="4"/>
  <c r="E6" i="4" s="1"/>
  <c r="J22" i="4"/>
  <c r="I4" i="4" s="1"/>
  <c r="G26" i="4"/>
  <c r="F8" i="4" s="1"/>
  <c r="E25" i="4"/>
  <c r="D7" i="4" s="1"/>
  <c r="I23" i="4"/>
  <c r="H5" i="4" s="1"/>
  <c r="G22" i="4"/>
  <c r="F4" i="4" s="1"/>
  <c r="D26" i="4"/>
  <c r="C8" i="4" s="1"/>
  <c r="D25" i="4"/>
  <c r="C7" i="4" s="1"/>
  <c r="D22" i="4"/>
  <c r="C4" i="4" s="1"/>
  <c r="H26" i="4"/>
  <c r="G8" i="4" s="1"/>
  <c r="J25" i="4"/>
  <c r="I7" i="4" s="1"/>
  <c r="F25" i="4"/>
  <c r="E7" i="4" s="1"/>
  <c r="H24" i="4"/>
  <c r="G6" i="4" s="1"/>
  <c r="J23" i="4"/>
  <c r="I5" i="4" s="1"/>
  <c r="F23" i="4"/>
  <c r="E5" i="4" s="1"/>
  <c r="H22" i="4"/>
  <c r="G4" i="4" s="1"/>
  <c r="I26" i="4"/>
  <c r="H8" i="4" s="1"/>
  <c r="E26" i="4"/>
  <c r="D8" i="4" s="1"/>
  <c r="G25" i="4"/>
  <c r="F7" i="4" s="1"/>
  <c r="I24" i="4"/>
  <c r="H6" i="4" s="1"/>
  <c r="E24" i="4"/>
  <c r="D6" i="4" s="1"/>
  <c r="G23" i="4"/>
  <c r="F5" i="4" s="1"/>
  <c r="I22" i="4"/>
  <c r="H4" i="4" s="1"/>
</calcChain>
</file>

<file path=xl/sharedStrings.xml><?xml version="1.0" encoding="utf-8"?>
<sst xmlns="http://schemas.openxmlformats.org/spreadsheetml/2006/main" count="287" uniqueCount="211">
  <si>
    <t>予約日</t>
    <rPh sb="0" eb="2">
      <t>ヨヤク</t>
    </rPh>
    <rPh sb="2" eb="3">
      <t>ビ</t>
    </rPh>
    <phoneticPr fontId="1"/>
  </si>
  <si>
    <t>予約時間帯</t>
    <rPh sb="0" eb="2">
      <t>ヨヤク</t>
    </rPh>
    <rPh sb="2" eb="5">
      <t>ジカンタイ</t>
    </rPh>
    <phoneticPr fontId="1"/>
  </si>
  <si>
    <t>学籍番号1</t>
    <rPh sb="0" eb="2">
      <t>ガクセキ</t>
    </rPh>
    <rPh sb="2" eb="4">
      <t>バンゴウ</t>
    </rPh>
    <phoneticPr fontId="1"/>
  </si>
  <si>
    <t>学籍番号2</t>
    <rPh sb="0" eb="2">
      <t>ガクセキ</t>
    </rPh>
    <rPh sb="2" eb="4">
      <t>バンゴウ</t>
    </rPh>
    <phoneticPr fontId="1"/>
  </si>
  <si>
    <t>学籍番号4</t>
    <rPh sb="0" eb="2">
      <t>ガクセキ</t>
    </rPh>
    <rPh sb="2" eb="4">
      <t>バンゴウ</t>
    </rPh>
    <phoneticPr fontId="1"/>
  </si>
  <si>
    <t>学籍番号5</t>
    <rPh sb="0" eb="2">
      <t>ガクセキ</t>
    </rPh>
    <rPh sb="2" eb="4">
      <t>バンゴウ</t>
    </rPh>
    <phoneticPr fontId="1"/>
  </si>
  <si>
    <t>学籍番号6</t>
    <rPh sb="0" eb="2">
      <t>ガクセキ</t>
    </rPh>
    <rPh sb="2" eb="4">
      <t>バンゴウ</t>
    </rPh>
    <phoneticPr fontId="1"/>
  </si>
  <si>
    <t>学籍番号7</t>
    <rPh sb="0" eb="2">
      <t>ガクセキ</t>
    </rPh>
    <rPh sb="2" eb="4">
      <t>バンゴウ</t>
    </rPh>
    <phoneticPr fontId="1"/>
  </si>
  <si>
    <t>学籍番号8</t>
    <rPh sb="0" eb="2">
      <t>ガクセキ</t>
    </rPh>
    <rPh sb="2" eb="4">
      <t>バンゴウ</t>
    </rPh>
    <phoneticPr fontId="1"/>
  </si>
  <si>
    <t>学籍番号9</t>
    <rPh sb="0" eb="2">
      <t>ガクセキ</t>
    </rPh>
    <rPh sb="2" eb="4">
      <t>バンゴウ</t>
    </rPh>
    <phoneticPr fontId="1"/>
  </si>
  <si>
    <t>学籍番号10</t>
    <rPh sb="0" eb="2">
      <t>ガクセキ</t>
    </rPh>
    <rPh sb="2" eb="4">
      <t>バンゴウ</t>
    </rPh>
    <phoneticPr fontId="1"/>
  </si>
  <si>
    <t>ケーブル貸し出し有無</t>
    <rPh sb="4" eb="5">
      <t>カ</t>
    </rPh>
    <rPh sb="6" eb="7">
      <t>ダ</t>
    </rPh>
    <rPh sb="8" eb="10">
      <t>ウム</t>
    </rPh>
    <phoneticPr fontId="1"/>
  </si>
  <si>
    <t>席番号</t>
    <rPh sb="0" eb="1">
      <t>セキ</t>
    </rPh>
    <rPh sb="1" eb="3">
      <t>バンゴウ</t>
    </rPh>
    <phoneticPr fontId="1"/>
  </si>
  <si>
    <t>利用時間</t>
    <rPh sb="0" eb="2">
      <t>リヨウ</t>
    </rPh>
    <rPh sb="2" eb="4">
      <t>ジカン</t>
    </rPh>
    <phoneticPr fontId="1"/>
  </si>
  <si>
    <t>1時限目</t>
    <rPh sb="1" eb="4">
      <t>ジゲンメ</t>
    </rPh>
    <phoneticPr fontId="1"/>
  </si>
  <si>
    <t>2時限目</t>
    <rPh sb="1" eb="4">
      <t>ジゲンメ</t>
    </rPh>
    <phoneticPr fontId="1"/>
  </si>
  <si>
    <t>3時限目</t>
    <rPh sb="1" eb="4">
      <t>ジゲンメ</t>
    </rPh>
    <phoneticPr fontId="1"/>
  </si>
  <si>
    <t>昼休み</t>
    <rPh sb="0" eb="2">
      <t>ヒルヤス</t>
    </rPh>
    <phoneticPr fontId="1"/>
  </si>
  <si>
    <t>4時限目</t>
    <rPh sb="1" eb="4">
      <t>ジゲンメ</t>
    </rPh>
    <phoneticPr fontId="1"/>
  </si>
  <si>
    <t>5時限目</t>
    <rPh sb="1" eb="4">
      <t>ジゲンメ</t>
    </rPh>
    <phoneticPr fontId="1"/>
  </si>
  <si>
    <t>閉室まで</t>
    <rPh sb="0" eb="2">
      <t>ヘイシツ</t>
    </rPh>
    <phoneticPr fontId="1"/>
  </si>
  <si>
    <t>学籍番号3</t>
    <rPh sb="0" eb="4">
      <t>ガクセキバンゴウ</t>
    </rPh>
    <phoneticPr fontId="1"/>
  </si>
  <si>
    <t>予約コード</t>
    <rPh sb="0" eb="2">
      <t>ヨヤク</t>
    </rPh>
    <phoneticPr fontId="1"/>
  </si>
  <si>
    <t>現在時刻</t>
    <rPh sb="0" eb="2">
      <t>ゲンザイ</t>
    </rPh>
    <rPh sb="2" eb="4">
      <t>ジコク</t>
    </rPh>
    <phoneticPr fontId="1"/>
  </si>
  <si>
    <t>日付</t>
    <rPh sb="0" eb="2">
      <t>ヒヅケ</t>
    </rPh>
    <phoneticPr fontId="1"/>
  </si>
  <si>
    <t>変更点２</t>
    <rPh sb="0" eb="3">
      <t>ヘンコウテン</t>
    </rPh>
    <phoneticPr fontId="1"/>
  </si>
  <si>
    <t>予約コード参照シートにおいていた予約コード表をメインシートの下部に移動（非表示設定）それに伴って、予約コード参照シートは学科コード表として開発用に置いておく</t>
    <rPh sb="0" eb="2">
      <t>ヨヤク</t>
    </rPh>
    <rPh sb="5" eb="7">
      <t>サンショウ</t>
    </rPh>
    <rPh sb="16" eb="18">
      <t>ヨヤク</t>
    </rPh>
    <rPh sb="21" eb="22">
      <t>ヒョウ</t>
    </rPh>
    <rPh sb="30" eb="32">
      <t>カブ</t>
    </rPh>
    <rPh sb="33" eb="35">
      <t>イドウ</t>
    </rPh>
    <rPh sb="36" eb="39">
      <t>ヒヒョウジ</t>
    </rPh>
    <rPh sb="39" eb="41">
      <t>セッテイ</t>
    </rPh>
    <rPh sb="45" eb="46">
      <t>トモナ</t>
    </rPh>
    <rPh sb="49" eb="51">
      <t>ヨヤク</t>
    </rPh>
    <rPh sb="54" eb="56">
      <t>サンショウ</t>
    </rPh>
    <rPh sb="60" eb="62">
      <t>ガッカ</t>
    </rPh>
    <rPh sb="65" eb="66">
      <t>ヒョウ</t>
    </rPh>
    <rPh sb="69" eb="71">
      <t>カイハツ</t>
    </rPh>
    <rPh sb="71" eb="72">
      <t>ヨウ</t>
    </rPh>
    <rPh sb="73" eb="74">
      <t>オ</t>
    </rPh>
    <phoneticPr fontId="1"/>
  </si>
  <si>
    <t>verβ公開</t>
    <rPh sb="4" eb="6">
      <t>コウカイ</t>
    </rPh>
    <phoneticPr fontId="1"/>
  </si>
  <si>
    <t>原田</t>
    <rPh sb="0" eb="2">
      <t>ハラダ</t>
    </rPh>
    <phoneticPr fontId="1"/>
  </si>
  <si>
    <t>マクロを有効化して，メインの画面を操作することで予約などができます</t>
    <rPh sb="4" eb="7">
      <t>ユウコウカ</t>
    </rPh>
    <rPh sb="14" eb="16">
      <t>ガメン</t>
    </rPh>
    <rPh sb="17" eb="19">
      <t>ソウサ</t>
    </rPh>
    <rPh sb="24" eb="26">
      <t>ヨヤク</t>
    </rPh>
    <phoneticPr fontId="1"/>
  </si>
  <si>
    <t>うまく操作できないところや，機能の要望などあったら伝言ノートか，ここに書き込んで報告をお願いします</t>
    <rPh sb="3" eb="5">
      <t>ソウサ</t>
    </rPh>
    <rPh sb="14" eb="16">
      <t>キノウ</t>
    </rPh>
    <rPh sb="17" eb="19">
      <t>ヨウボウ</t>
    </rPh>
    <rPh sb="25" eb="27">
      <t>デンゴン</t>
    </rPh>
    <rPh sb="35" eb="36">
      <t>カ</t>
    </rPh>
    <rPh sb="37" eb="38">
      <t>コ</t>
    </rPh>
    <rPh sb="40" eb="42">
      <t>ホウコク</t>
    </rPh>
    <rPh sb="44" eb="45">
      <t>ネガ</t>
    </rPh>
    <phoneticPr fontId="1"/>
  </si>
  <si>
    <t>とりあえず既知の不具合としては学籍番号を入力する際に，大学院生の○○M○○に対応していないという点です．（数値のみ入力可能です）</t>
    <rPh sb="5" eb="7">
      <t>キチ</t>
    </rPh>
    <rPh sb="8" eb="11">
      <t>フグアイ</t>
    </rPh>
    <rPh sb="15" eb="17">
      <t>ガクセキ</t>
    </rPh>
    <rPh sb="17" eb="19">
      <t>バンゴウ</t>
    </rPh>
    <rPh sb="20" eb="22">
      <t>ニュウリョク</t>
    </rPh>
    <rPh sb="24" eb="25">
      <t>サイ</t>
    </rPh>
    <rPh sb="27" eb="30">
      <t>ダイガクイン</t>
    </rPh>
    <rPh sb="30" eb="31">
      <t>セイ</t>
    </rPh>
    <rPh sb="38" eb="40">
      <t>タイオウ</t>
    </rPh>
    <rPh sb="48" eb="49">
      <t>テン</t>
    </rPh>
    <rPh sb="53" eb="55">
      <t>スウチ</t>
    </rPh>
    <rPh sb="57" eb="59">
      <t>ニュウリョク</t>
    </rPh>
    <rPh sb="59" eb="61">
      <t>カノウ</t>
    </rPh>
    <phoneticPr fontId="1"/>
  </si>
  <si>
    <t>何かしら対策するつもりですが，とりあえずの運用ということで勘弁ください</t>
    <rPh sb="0" eb="1">
      <t>ナニ</t>
    </rPh>
    <rPh sb="4" eb="6">
      <t>タイサク</t>
    </rPh>
    <rPh sb="21" eb="23">
      <t>ウンヨウ</t>
    </rPh>
    <rPh sb="29" eb="31">
      <t>カンベン</t>
    </rPh>
    <phoneticPr fontId="1"/>
  </si>
  <si>
    <t>エクセルのシートの変更，マクロの編集は随時行ってほしいのですが，変更する前にバックアップフォルダにコピーしてから変更してください</t>
    <rPh sb="9" eb="11">
      <t>ヘンコウ</t>
    </rPh>
    <rPh sb="16" eb="18">
      <t>ヘンシュウ</t>
    </rPh>
    <rPh sb="19" eb="21">
      <t>ズイジ</t>
    </rPh>
    <rPh sb="21" eb="22">
      <t>オコナ</t>
    </rPh>
    <rPh sb="32" eb="34">
      <t>ヘンコウ</t>
    </rPh>
    <rPh sb="36" eb="37">
      <t>マエ</t>
    </rPh>
    <rPh sb="56" eb="58">
      <t>ヘンコウ</t>
    </rPh>
    <phoneticPr fontId="1"/>
  </si>
  <si>
    <t>また変更した点はここで報告をお願いします　原田</t>
    <rPh sb="2" eb="4">
      <t>ヘンコウ</t>
    </rPh>
    <rPh sb="6" eb="7">
      <t>テン</t>
    </rPh>
    <rPh sb="11" eb="13">
      <t>ホウコク</t>
    </rPh>
    <rPh sb="15" eb="16">
      <t>ネガ</t>
    </rPh>
    <rPh sb="21" eb="23">
      <t>ハラダ</t>
    </rPh>
    <phoneticPr fontId="1"/>
  </si>
  <si>
    <t>verβ1.01</t>
    <phoneticPr fontId="1"/>
  </si>
  <si>
    <t>変更点１</t>
    <rPh sb="0" eb="3">
      <t>ヘンコウテン</t>
    </rPh>
    <phoneticPr fontId="1"/>
  </si>
  <si>
    <t>予約を一度したあと、予約済をもう一度選択して予約を削除すると、削除した時間帯の予約フォームが直後に開くため、</t>
    <phoneticPr fontId="1"/>
  </si>
  <si>
    <t>メインシートの89~99行目をifで予約済の場合変更フォームを表示した後、elseのあとにさらにifを入れて空白の場合のみ予約フォームが表示されるように変更</t>
    <rPh sb="12" eb="14">
      <t>ギョウメ</t>
    </rPh>
    <rPh sb="18" eb="20">
      <t>ヨヤク</t>
    </rPh>
    <rPh sb="20" eb="21">
      <t>ズ</t>
    </rPh>
    <rPh sb="22" eb="24">
      <t>バアイ</t>
    </rPh>
    <rPh sb="24" eb="26">
      <t>ヘンコウ</t>
    </rPh>
    <rPh sb="31" eb="33">
      <t>ヒョウジ</t>
    </rPh>
    <rPh sb="35" eb="36">
      <t>アト</t>
    </rPh>
    <rPh sb="51" eb="52">
      <t>イ</t>
    </rPh>
    <rPh sb="54" eb="56">
      <t>クウハク</t>
    </rPh>
    <rPh sb="57" eb="59">
      <t>バアイ</t>
    </rPh>
    <rPh sb="61" eb="63">
      <t>ヨヤク</t>
    </rPh>
    <rPh sb="68" eb="70">
      <t>ヒョウジ</t>
    </rPh>
    <rPh sb="76" eb="78">
      <t>ヘンコウ</t>
    </rPh>
    <phoneticPr fontId="1"/>
  </si>
  <si>
    <t>軽微な修正</t>
    <rPh sb="0" eb="2">
      <t>ケイビ</t>
    </rPh>
    <rPh sb="3" eb="5">
      <t>シュウセイ</t>
    </rPh>
    <phoneticPr fontId="1"/>
  </si>
  <si>
    <t>メインシート89行目のif文をinstr関数に変更しました</t>
    <rPh sb="8" eb="10">
      <t>ギョウメ</t>
    </rPh>
    <rPh sb="13" eb="14">
      <t>ブン</t>
    </rPh>
    <rPh sb="20" eb="22">
      <t>カンスウ</t>
    </rPh>
    <rPh sb="23" eb="25">
      <t>ヘンコウ</t>
    </rPh>
    <phoneticPr fontId="1"/>
  </si>
  <si>
    <t>モニター不調などのイレギュラーなステータスの場合にも２コマの連続予約と延長ができないように</t>
    <rPh sb="4" eb="6">
      <t>フチョウ</t>
    </rPh>
    <rPh sb="22" eb="24">
      <t>バアイ</t>
    </rPh>
    <rPh sb="30" eb="32">
      <t>レンゾク</t>
    </rPh>
    <rPh sb="32" eb="34">
      <t>ヨヤク</t>
    </rPh>
    <rPh sb="35" eb="37">
      <t>エンチョウ</t>
    </rPh>
    <phoneticPr fontId="1"/>
  </si>
  <si>
    <t>メインシート７７行目のif文を変更しました。予約済はfalseで空白はtrueにしていたところを空白以外はすべてfalseになるようにしました</t>
    <rPh sb="8" eb="10">
      <t>ギョウメ</t>
    </rPh>
    <rPh sb="13" eb="14">
      <t>ブン</t>
    </rPh>
    <rPh sb="15" eb="17">
      <t>ヘンコウ</t>
    </rPh>
    <rPh sb="22" eb="24">
      <t>ヨヤク</t>
    </rPh>
    <rPh sb="24" eb="25">
      <t>ズ</t>
    </rPh>
    <rPh sb="32" eb="34">
      <t>クウハク</t>
    </rPh>
    <rPh sb="48" eb="50">
      <t>クウハク</t>
    </rPh>
    <rPh sb="50" eb="52">
      <t>イガイ</t>
    </rPh>
    <phoneticPr fontId="1"/>
  </si>
  <si>
    <t>メインシートのセルに入力するテキストボックスについてと、表に文字列を表示する注意書きを追加しました</t>
    <rPh sb="10" eb="12">
      <t>ニュウリョク</t>
    </rPh>
    <rPh sb="28" eb="29">
      <t>ヒョウ</t>
    </rPh>
    <rPh sb="30" eb="33">
      <t>モジレツ</t>
    </rPh>
    <rPh sb="34" eb="36">
      <t>ヒョウジ</t>
    </rPh>
    <rPh sb="38" eb="41">
      <t>チュウイガ</t>
    </rPh>
    <rPh sb="43" eb="45">
      <t>ツイカ</t>
    </rPh>
    <phoneticPr fontId="1"/>
  </si>
  <si>
    <t>変更点3</t>
    <rPh sb="0" eb="3">
      <t>ヘンコウテン</t>
    </rPh>
    <phoneticPr fontId="1"/>
  </si>
  <si>
    <t>セル上に自由に文字列表示させるために数値であるかどうかでif分けしているので入力フォームのテキストボックスに学籍番号が入力された場合、学生台帳番号に変更するシステムを組むつもりでメインシートに作業途中のセルがあります</t>
    <rPh sb="2" eb="3">
      <t>ジョウ</t>
    </rPh>
    <rPh sb="4" eb="6">
      <t>ジユウ</t>
    </rPh>
    <rPh sb="7" eb="10">
      <t>モジレツ</t>
    </rPh>
    <rPh sb="10" eb="12">
      <t>ヒョウジ</t>
    </rPh>
    <rPh sb="18" eb="20">
      <t>スウチ</t>
    </rPh>
    <rPh sb="30" eb="31">
      <t>ワ</t>
    </rPh>
    <rPh sb="38" eb="40">
      <t>ニュウリョク</t>
    </rPh>
    <rPh sb="54" eb="56">
      <t>ガクセキ</t>
    </rPh>
    <rPh sb="56" eb="58">
      <t>バンゴウ</t>
    </rPh>
    <rPh sb="59" eb="61">
      <t>ニュウリョク</t>
    </rPh>
    <rPh sb="64" eb="66">
      <t>バアイ</t>
    </rPh>
    <rPh sb="67" eb="71">
      <t>ガクセイダイチョウ</t>
    </rPh>
    <rPh sb="71" eb="73">
      <t>バンゴウ</t>
    </rPh>
    <rPh sb="74" eb="76">
      <t>ヘンコウ</t>
    </rPh>
    <rPh sb="83" eb="84">
      <t>ク</t>
    </rPh>
    <rPh sb="96" eb="98">
      <t>サギョウ</t>
    </rPh>
    <rPh sb="98" eb="100">
      <t>トチュウ</t>
    </rPh>
    <phoneticPr fontId="1"/>
  </si>
  <si>
    <t>まだ学籍番号と台帳番号の変換するためのデータ集めが済んでいないので組みきれてないところです</t>
    <rPh sb="2" eb="4">
      <t>ガクセキ</t>
    </rPh>
    <rPh sb="4" eb="6">
      <t>バンゴウ</t>
    </rPh>
    <rPh sb="7" eb="9">
      <t>ダイチョウ</t>
    </rPh>
    <rPh sb="9" eb="11">
      <t>バンゴウ</t>
    </rPh>
    <rPh sb="12" eb="14">
      <t>ヘンカン</t>
    </rPh>
    <rPh sb="22" eb="23">
      <t>アツ</t>
    </rPh>
    <rPh sb="25" eb="26">
      <t>ス</t>
    </rPh>
    <rPh sb="33" eb="34">
      <t>ク</t>
    </rPh>
    <phoneticPr fontId="1"/>
  </si>
  <si>
    <t>変更点４</t>
    <rPh sb="0" eb="3">
      <t>ヘンコウテン</t>
    </rPh>
    <phoneticPr fontId="1"/>
  </si>
  <si>
    <t>テキストボックスにペーストで文字列を入れられるようになっていたため、文字列の場合はもう一度入力を促すようにしました</t>
    <rPh sb="14" eb="17">
      <t>モジレツ</t>
    </rPh>
    <rPh sb="18" eb="19">
      <t>イ</t>
    </rPh>
    <rPh sb="34" eb="37">
      <t>モジレツ</t>
    </rPh>
    <rPh sb="38" eb="40">
      <t>バアイ</t>
    </rPh>
    <rPh sb="43" eb="45">
      <t>イチド</t>
    </rPh>
    <rPh sb="45" eb="47">
      <t>ニュウリョク</t>
    </rPh>
    <rPh sb="48" eb="49">
      <t>ウナガ</t>
    </rPh>
    <phoneticPr fontId="1"/>
  </si>
  <si>
    <t>今後、テキストボックスに学籍番号入れた場合には、それを学生台帳番号変更し、それが数値でない場合（うまく変換できない場合）にもう一度入力を促すようにするつもりです</t>
    <rPh sb="0" eb="2">
      <t>コンゴ</t>
    </rPh>
    <rPh sb="12" eb="14">
      <t>ガクセキ</t>
    </rPh>
    <rPh sb="14" eb="16">
      <t>バンゴウ</t>
    </rPh>
    <rPh sb="16" eb="17">
      <t>イ</t>
    </rPh>
    <rPh sb="19" eb="21">
      <t>バアイ</t>
    </rPh>
    <rPh sb="27" eb="33">
      <t>ガクセイダイチョウバンゴウ</t>
    </rPh>
    <rPh sb="33" eb="35">
      <t>ヘンコウ</t>
    </rPh>
    <rPh sb="40" eb="42">
      <t>スウチ</t>
    </rPh>
    <rPh sb="45" eb="47">
      <t>バアイ</t>
    </rPh>
    <rPh sb="51" eb="53">
      <t>ヘンカン</t>
    </rPh>
    <rPh sb="57" eb="59">
      <t>バアイ</t>
    </rPh>
    <rPh sb="63" eb="65">
      <t>イチド</t>
    </rPh>
    <rPh sb="65" eb="67">
      <t>ニュウリョク</t>
    </rPh>
    <rPh sb="68" eb="69">
      <t>ウナガ</t>
    </rPh>
    <phoneticPr fontId="1"/>
  </si>
  <si>
    <t>verβ 1.02</t>
    <phoneticPr fontId="1"/>
  </si>
  <si>
    <t>1.01で文字列ペーストに対して対策したら数値を入力した場合も、テキストボックスexitしたときにも有効でないといわれるので、数値、空白の場合には特に何も言われないようにif文を書き足しました。</t>
    <rPh sb="5" eb="8">
      <t>モジレツ</t>
    </rPh>
    <rPh sb="13" eb="14">
      <t>タイ</t>
    </rPh>
    <rPh sb="16" eb="18">
      <t>タイサク</t>
    </rPh>
    <rPh sb="21" eb="23">
      <t>スウチ</t>
    </rPh>
    <rPh sb="24" eb="26">
      <t>ニュウリョク</t>
    </rPh>
    <rPh sb="28" eb="30">
      <t>バアイ</t>
    </rPh>
    <rPh sb="50" eb="52">
      <t>ユウコウ</t>
    </rPh>
    <rPh sb="63" eb="65">
      <t>スウチ</t>
    </rPh>
    <rPh sb="66" eb="68">
      <t>クウハク</t>
    </rPh>
    <rPh sb="69" eb="71">
      <t>バアイ</t>
    </rPh>
    <rPh sb="73" eb="74">
      <t>トク</t>
    </rPh>
    <rPh sb="75" eb="76">
      <t>ナニ</t>
    </rPh>
    <rPh sb="77" eb="78">
      <t>イ</t>
    </rPh>
    <rPh sb="87" eb="88">
      <t>ブン</t>
    </rPh>
    <rPh sb="89" eb="90">
      <t>カ</t>
    </rPh>
    <rPh sb="91" eb="92">
      <t>タ</t>
    </rPh>
    <phoneticPr fontId="1"/>
  </si>
  <si>
    <t>verβ 1.021</t>
    <phoneticPr fontId="1"/>
  </si>
  <si>
    <t>テキストボっクスの入力制限をtext_restrictというfunctionプロシージャを作って、それをcallで呼び出すようにしました。今後同様の処理を行っているところはfunctionプロシージャでまとめたいと思います。</t>
    <rPh sb="9" eb="11">
      <t>ニュウリョク</t>
    </rPh>
    <rPh sb="11" eb="13">
      <t>セイゲン</t>
    </rPh>
    <rPh sb="45" eb="46">
      <t>ツク</t>
    </rPh>
    <rPh sb="57" eb="58">
      <t>ヨ</t>
    </rPh>
    <rPh sb="59" eb="60">
      <t>ダ</t>
    </rPh>
    <rPh sb="69" eb="71">
      <t>コンゴ</t>
    </rPh>
    <rPh sb="71" eb="73">
      <t>ドウヨウ</t>
    </rPh>
    <rPh sb="74" eb="76">
      <t>ショリ</t>
    </rPh>
    <rPh sb="77" eb="78">
      <t>オコナ</t>
    </rPh>
    <rPh sb="107" eb="108">
      <t>オモ</t>
    </rPh>
    <phoneticPr fontId="1"/>
  </si>
  <si>
    <t>シートの順番を変更しました。PC予約表以外を別のファイルにするのは、たぶん別のファイル間でデータのやり取りをやるのができないので実現は難しいかと思います。</t>
    <rPh sb="4" eb="6">
      <t>ジュンバン</t>
    </rPh>
    <rPh sb="7" eb="9">
      <t>ヘンコウ</t>
    </rPh>
    <rPh sb="16" eb="18">
      <t>ヨヤク</t>
    </rPh>
    <rPh sb="18" eb="19">
      <t>ヒョウ</t>
    </rPh>
    <rPh sb="19" eb="21">
      <t>イガイ</t>
    </rPh>
    <rPh sb="22" eb="23">
      <t>ベツ</t>
    </rPh>
    <rPh sb="37" eb="38">
      <t>ベツ</t>
    </rPh>
    <rPh sb="43" eb="44">
      <t>カン</t>
    </rPh>
    <rPh sb="51" eb="52">
      <t>ト</t>
    </rPh>
    <rPh sb="64" eb="66">
      <t>ジツゲン</t>
    </rPh>
    <rPh sb="67" eb="68">
      <t>ムズカ</t>
    </rPh>
    <rPh sb="72" eb="73">
      <t>オモ</t>
    </rPh>
    <phoneticPr fontId="1"/>
  </si>
  <si>
    <t>β1.022</t>
    <phoneticPr fontId="1"/>
  </si>
  <si>
    <t>メインシートに学籍番号と台帳番号を変換するためのデータを整理している表が書いてあります。</t>
    <rPh sb="7" eb="9">
      <t>ガクセキ</t>
    </rPh>
    <rPh sb="9" eb="11">
      <t>バンゴウ</t>
    </rPh>
    <rPh sb="12" eb="16">
      <t>ダイチョウバンゴウ</t>
    </rPh>
    <rPh sb="17" eb="19">
      <t>ヘンカン</t>
    </rPh>
    <rPh sb="28" eb="30">
      <t>セイリ</t>
    </rPh>
    <rPh sb="34" eb="35">
      <t>ヒョウ</t>
    </rPh>
    <rPh sb="36" eb="37">
      <t>カ</t>
    </rPh>
    <phoneticPr fontId="1"/>
  </si>
  <si>
    <t>学籍番号を入力するテキストボックスのkeypressプロシージャーで数字のみ入力できるようにしていましたが、functionプロシージャにまとめてMとDを入力できるようにしました、</t>
    <rPh sb="0" eb="2">
      <t>ガクセキ</t>
    </rPh>
    <rPh sb="2" eb="4">
      <t>バンゴウ</t>
    </rPh>
    <rPh sb="5" eb="7">
      <t>ニュウリョク</t>
    </rPh>
    <rPh sb="34" eb="36">
      <t>スウジ</t>
    </rPh>
    <rPh sb="38" eb="40">
      <t>ニュウリョク</t>
    </rPh>
    <rPh sb="77" eb="79">
      <t>ニュウリョク</t>
    </rPh>
    <phoneticPr fontId="1"/>
  </si>
  <si>
    <t>変更点３</t>
    <rPh sb="0" eb="3">
      <t>ヘンコウテン</t>
    </rPh>
    <phoneticPr fontId="1"/>
  </si>
  <si>
    <t>テキストボックスに学籍番号を入力した場合、台帳番号に変換が行われるようにしました。メインシートの変換対応表に従って変換します。（黄色部分は未対応、あるいは仮置き）</t>
    <rPh sb="9" eb="11">
      <t>ガクセキ</t>
    </rPh>
    <rPh sb="11" eb="13">
      <t>バンゴウ</t>
    </rPh>
    <rPh sb="14" eb="16">
      <t>ニュウリョク</t>
    </rPh>
    <rPh sb="18" eb="20">
      <t>バアイ</t>
    </rPh>
    <rPh sb="21" eb="23">
      <t>ダイチョウ</t>
    </rPh>
    <rPh sb="23" eb="25">
      <t>バンゴウ</t>
    </rPh>
    <rPh sb="26" eb="28">
      <t>ヘンカン</t>
    </rPh>
    <rPh sb="29" eb="30">
      <t>オコナ</t>
    </rPh>
    <rPh sb="48" eb="50">
      <t>ヘンカン</t>
    </rPh>
    <rPh sb="50" eb="52">
      <t>タイオウ</t>
    </rPh>
    <rPh sb="52" eb="53">
      <t>ヒョウ</t>
    </rPh>
    <rPh sb="54" eb="55">
      <t>シタガ</t>
    </rPh>
    <rPh sb="57" eb="59">
      <t>ヘンカン</t>
    </rPh>
    <rPh sb="64" eb="66">
      <t>キイロ</t>
    </rPh>
    <rPh sb="66" eb="68">
      <t>ブブン</t>
    </rPh>
    <rPh sb="69" eb="72">
      <t>ミタイオウ</t>
    </rPh>
    <rPh sb="77" eb="79">
      <t>カリオ</t>
    </rPh>
    <phoneticPr fontId="1"/>
  </si>
  <si>
    <t>β1.03</t>
    <phoneticPr fontId="1"/>
  </si>
  <si>
    <t>textbox_restrict(functionプロシージャ)の引数を２つに増やした。また学籍番号をうまく変更できなかった時用のワイルドカードの設定、社会福祉学科にとりあえず対応</t>
    <rPh sb="33" eb="35">
      <t>ヒキスウ</t>
    </rPh>
    <rPh sb="39" eb="40">
      <t>フ</t>
    </rPh>
    <rPh sb="46" eb="48">
      <t>ガクセキ</t>
    </rPh>
    <rPh sb="48" eb="50">
      <t>バンゴウ</t>
    </rPh>
    <rPh sb="54" eb="56">
      <t>ヘンコウ</t>
    </rPh>
    <rPh sb="62" eb="63">
      <t>トキ</t>
    </rPh>
    <rPh sb="63" eb="64">
      <t>ヨウ</t>
    </rPh>
    <rPh sb="73" eb="75">
      <t>セッテイ</t>
    </rPh>
    <rPh sb="76" eb="80">
      <t>シャカイフクシ</t>
    </rPh>
    <rPh sb="80" eb="82">
      <t>ガッカ</t>
    </rPh>
    <rPh sb="88" eb="90">
      <t>タイオウ</t>
    </rPh>
    <phoneticPr fontId="1"/>
  </si>
  <si>
    <t>学籍番号５文字目がSの交換留学生に対応。台帳番号の通常０のところを９にすることで対応しました。ほとんど来ないでしょうのでエラーを吐かない程度の調整です</t>
    <rPh sb="0" eb="2">
      <t>ガクセキ</t>
    </rPh>
    <rPh sb="2" eb="4">
      <t>バンゴウ</t>
    </rPh>
    <rPh sb="5" eb="8">
      <t>モジメ</t>
    </rPh>
    <rPh sb="11" eb="13">
      <t>コウカン</t>
    </rPh>
    <rPh sb="13" eb="16">
      <t>リュウガクセイ</t>
    </rPh>
    <rPh sb="17" eb="19">
      <t>タイオウ</t>
    </rPh>
    <rPh sb="20" eb="22">
      <t>ダイチョウ</t>
    </rPh>
    <rPh sb="22" eb="24">
      <t>バンゴウ</t>
    </rPh>
    <rPh sb="25" eb="27">
      <t>ツウジョウ</t>
    </rPh>
    <rPh sb="40" eb="42">
      <t>タイオウ</t>
    </rPh>
    <rPh sb="51" eb="52">
      <t>コ</t>
    </rPh>
    <rPh sb="64" eb="65">
      <t>ハ</t>
    </rPh>
    <rPh sb="68" eb="70">
      <t>テイド</t>
    </rPh>
    <rPh sb="71" eb="73">
      <t>チョウセイ</t>
    </rPh>
    <phoneticPr fontId="1"/>
  </si>
  <si>
    <t>テキストボックスexitしたときに学籍番号が有効かチェックしていたのを、登録ボタンを押したときに変更</t>
    <rPh sb="17" eb="19">
      <t>ガクセキ</t>
    </rPh>
    <rPh sb="19" eb="21">
      <t>バンゴウ</t>
    </rPh>
    <rPh sb="22" eb="24">
      <t>ユウコウ</t>
    </rPh>
    <rPh sb="36" eb="38">
      <t>トウロク</t>
    </rPh>
    <rPh sb="42" eb="43">
      <t>オ</t>
    </rPh>
    <rPh sb="48" eb="50">
      <t>ヘンコウ</t>
    </rPh>
    <phoneticPr fontId="1"/>
  </si>
  <si>
    <t>変なところが文字列になっている番号が入力された場合にフォームに戻るようにtextbox_restrictプロシージャにif文を追加</t>
    <rPh sb="0" eb="1">
      <t>ヘン</t>
    </rPh>
    <rPh sb="6" eb="9">
      <t>モジレツ</t>
    </rPh>
    <rPh sb="15" eb="17">
      <t>バンゴウ</t>
    </rPh>
    <rPh sb="18" eb="20">
      <t>ニュウリョク</t>
    </rPh>
    <rPh sb="23" eb="25">
      <t>バアイ</t>
    </rPh>
    <rPh sb="31" eb="32">
      <t>モド</t>
    </rPh>
    <rPh sb="61" eb="62">
      <t>ブン</t>
    </rPh>
    <rPh sb="63" eb="65">
      <t>ツイカ</t>
    </rPh>
    <phoneticPr fontId="1"/>
  </si>
  <si>
    <t>変更点5</t>
    <rPh sb="0" eb="3">
      <t>ヘンコウテン</t>
    </rPh>
    <phoneticPr fontId="1"/>
  </si>
  <si>
    <t>textboxrestrictプロシージャを標準モジュールでpublic subとして記述。それに応じて変数名などの軽微な修正</t>
    <rPh sb="22" eb="24">
      <t>ヒョウジュン</t>
    </rPh>
    <rPh sb="43" eb="45">
      <t>キジュツ</t>
    </rPh>
    <rPh sb="49" eb="50">
      <t>オウ</t>
    </rPh>
    <rPh sb="52" eb="54">
      <t>ヘンスウ</t>
    </rPh>
    <rPh sb="54" eb="55">
      <t>メイ</t>
    </rPh>
    <rPh sb="58" eb="60">
      <t>ケイビ</t>
    </rPh>
    <rPh sb="61" eb="63">
      <t>シュウセイ</t>
    </rPh>
    <phoneticPr fontId="1"/>
  </si>
  <si>
    <t>変更点６</t>
    <rPh sb="0" eb="3">
      <t>ヘンコウテン</t>
    </rPh>
    <phoneticPr fontId="1"/>
  </si>
  <si>
    <t>時間が過ぎた予約時間帯は灰色になるようにメインシートモジュールに追記。過去と未来の場合は灰色にならない</t>
    <rPh sb="0" eb="2">
      <t>ジカン</t>
    </rPh>
    <rPh sb="3" eb="4">
      <t>ス</t>
    </rPh>
    <rPh sb="6" eb="8">
      <t>ヨヤク</t>
    </rPh>
    <rPh sb="8" eb="11">
      <t>ジカンタイ</t>
    </rPh>
    <rPh sb="12" eb="14">
      <t>ハイイロ</t>
    </rPh>
    <rPh sb="32" eb="34">
      <t>ツイキ</t>
    </rPh>
    <rPh sb="35" eb="37">
      <t>カコ</t>
    </rPh>
    <rPh sb="38" eb="40">
      <t>ミライ</t>
    </rPh>
    <rPh sb="41" eb="43">
      <t>バアイ</t>
    </rPh>
    <rPh sb="44" eb="46">
      <t>ハイイロ</t>
    </rPh>
    <phoneticPr fontId="1"/>
  </si>
  <si>
    <t>それに伴って標準モジュールに現在時刻から何コマ目までかを取得するプロシージャを記述</t>
    <rPh sb="3" eb="4">
      <t>トモナ</t>
    </rPh>
    <rPh sb="6" eb="8">
      <t>ヒョウジュン</t>
    </rPh>
    <rPh sb="14" eb="16">
      <t>ゲンザイ</t>
    </rPh>
    <rPh sb="16" eb="18">
      <t>ジコク</t>
    </rPh>
    <rPh sb="20" eb="21">
      <t>ナン</t>
    </rPh>
    <rPh sb="23" eb="24">
      <t>メ</t>
    </rPh>
    <rPh sb="28" eb="30">
      <t>シュトク</t>
    </rPh>
    <rPh sb="39" eb="41">
      <t>キジュツ</t>
    </rPh>
    <phoneticPr fontId="1"/>
  </si>
  <si>
    <t>また、時間が過ぎた予約時間帯は予約フォームが起動しないようになった</t>
    <rPh sb="3" eb="5">
      <t>ジカン</t>
    </rPh>
    <rPh sb="6" eb="7">
      <t>ス</t>
    </rPh>
    <rPh sb="9" eb="11">
      <t>ヨヤク</t>
    </rPh>
    <rPh sb="11" eb="14">
      <t>ジカンタイ</t>
    </rPh>
    <rPh sb="15" eb="17">
      <t>ヨヤク</t>
    </rPh>
    <rPh sb="22" eb="24">
      <t>キドウ</t>
    </rPh>
    <phoneticPr fontId="1"/>
  </si>
  <si>
    <t>変更点７</t>
    <rPh sb="0" eb="3">
      <t>ヘンコウテン</t>
    </rPh>
    <phoneticPr fontId="1"/>
  </si>
  <si>
    <t>１分毎にメインシートを再計算するようにrecalプロシージャをかいて、シートアクティブ、ディアクティブのたびに起動するように記述</t>
    <rPh sb="1" eb="2">
      <t>プン</t>
    </rPh>
    <rPh sb="2" eb="3">
      <t>マイ</t>
    </rPh>
    <rPh sb="11" eb="14">
      <t>サイケイサン</t>
    </rPh>
    <rPh sb="55" eb="57">
      <t>キドウ</t>
    </rPh>
    <rPh sb="62" eb="64">
      <t>キジュツ</t>
    </rPh>
    <phoneticPr fontId="1"/>
  </si>
  <si>
    <t>変更点８</t>
    <rPh sb="0" eb="3">
      <t>ヘンコウテン</t>
    </rPh>
    <phoneticPr fontId="1"/>
  </si>
  <si>
    <t>過去の日付の場合は予約フォームが起動しないようになった</t>
    <rPh sb="0" eb="2">
      <t>カコ</t>
    </rPh>
    <rPh sb="3" eb="5">
      <t>ヒヅケ</t>
    </rPh>
    <rPh sb="6" eb="8">
      <t>バアイ</t>
    </rPh>
    <rPh sb="9" eb="11">
      <t>ヨヤク</t>
    </rPh>
    <rPh sb="16" eb="18">
      <t>キドウ</t>
    </rPh>
    <phoneticPr fontId="1"/>
  </si>
  <si>
    <t>変更点９</t>
    <rPh sb="0" eb="3">
      <t>ヘンコウテン</t>
    </rPh>
    <phoneticPr fontId="1"/>
  </si>
  <si>
    <t>未来の日付の場合はどの時間帯でも予約フォームが起動します</t>
    <rPh sb="0" eb="2">
      <t>ミライ</t>
    </rPh>
    <rPh sb="3" eb="5">
      <t>ヒヅケ</t>
    </rPh>
    <rPh sb="6" eb="8">
      <t>バアイ</t>
    </rPh>
    <rPh sb="11" eb="14">
      <t>ジカンタイ</t>
    </rPh>
    <rPh sb="16" eb="18">
      <t>ヨヤク</t>
    </rPh>
    <rPh sb="23" eb="25">
      <t>キドウ</t>
    </rPh>
    <phoneticPr fontId="1"/>
  </si>
  <si>
    <t>変更点１０</t>
    <rPh sb="0" eb="3">
      <t>ヘンコウテン</t>
    </rPh>
    <phoneticPr fontId="1"/>
  </si>
  <si>
    <t>予約表の日付を設定するセルをA1からA2に変更。メインシート予約表周辺の罫線などの軽微な修正。</t>
    <rPh sb="0" eb="2">
      <t>ヨヤク</t>
    </rPh>
    <rPh sb="2" eb="3">
      <t>ヒョウ</t>
    </rPh>
    <rPh sb="4" eb="6">
      <t>ヒヅケ</t>
    </rPh>
    <rPh sb="7" eb="9">
      <t>セッテイ</t>
    </rPh>
    <rPh sb="21" eb="23">
      <t>ヘンコウ</t>
    </rPh>
    <rPh sb="30" eb="32">
      <t>ヨヤク</t>
    </rPh>
    <rPh sb="32" eb="33">
      <t>ヒョウ</t>
    </rPh>
    <rPh sb="33" eb="35">
      <t>シュウヘン</t>
    </rPh>
    <rPh sb="36" eb="38">
      <t>ケイセン</t>
    </rPh>
    <rPh sb="41" eb="43">
      <t>ケイビ</t>
    </rPh>
    <rPh sb="44" eb="46">
      <t>シュウセイ</t>
    </rPh>
    <phoneticPr fontId="1"/>
  </si>
  <si>
    <t>現在時刻は一分毎の更新が行われているかのチェックのために追加しました。</t>
    <rPh sb="0" eb="2">
      <t>ゲンザイ</t>
    </rPh>
    <rPh sb="2" eb="4">
      <t>ジコク</t>
    </rPh>
    <rPh sb="5" eb="7">
      <t>イップン</t>
    </rPh>
    <rPh sb="7" eb="8">
      <t>マイ</t>
    </rPh>
    <rPh sb="9" eb="11">
      <t>コウシン</t>
    </rPh>
    <rPh sb="12" eb="13">
      <t>オコナ</t>
    </rPh>
    <rPh sb="28" eb="30">
      <t>ツイカ</t>
    </rPh>
    <phoneticPr fontId="1"/>
  </si>
  <si>
    <t>変更点１１</t>
    <rPh sb="0" eb="3">
      <t>ヘンコウテン</t>
    </rPh>
    <phoneticPr fontId="1"/>
  </si>
  <si>
    <t>複数人表示シートの削除</t>
    <rPh sb="0" eb="2">
      <t>フクスウ</t>
    </rPh>
    <rPh sb="2" eb="3">
      <t>ニン</t>
    </rPh>
    <rPh sb="3" eb="5">
      <t>ヒョウジ</t>
    </rPh>
    <rPh sb="9" eb="11">
      <t>サクジョ</t>
    </rPh>
    <phoneticPr fontId="1"/>
  </si>
  <si>
    <t>連絡事項</t>
    <rPh sb="0" eb="2">
      <t>レンラク</t>
    </rPh>
    <rPh sb="2" eb="4">
      <t>ジコウ</t>
    </rPh>
    <phoneticPr fontId="1"/>
  </si>
  <si>
    <t>macで開くとコンパイルエラーを吐くとのことですが、解決はしていませんが、とりあえずの回避策はわかりました。</t>
    <rPh sb="4" eb="5">
      <t>ヒラ</t>
    </rPh>
    <rPh sb="16" eb="17">
      <t>ハ</t>
    </rPh>
    <rPh sb="26" eb="28">
      <t>カイケツ</t>
    </rPh>
    <rPh sb="43" eb="45">
      <t>カイヒ</t>
    </rPh>
    <rPh sb="45" eb="46">
      <t>サク</t>
    </rPh>
    <phoneticPr fontId="1"/>
  </si>
  <si>
    <t>マクロ内のテキストボックスでの入力制御でwindowsAPIを使用していたのですが、どうにもそれが６４bitExcelと相性が悪いようです。</t>
    <rPh sb="3" eb="4">
      <t>ナイ</t>
    </rPh>
    <rPh sb="15" eb="17">
      <t>ニュウリョク</t>
    </rPh>
    <rPh sb="17" eb="19">
      <t>セイギョ</t>
    </rPh>
    <rPh sb="31" eb="33">
      <t>シヨウ</t>
    </rPh>
    <rPh sb="60" eb="62">
      <t>アイショウ</t>
    </rPh>
    <rPh sb="63" eb="64">
      <t>ワル</t>
    </rPh>
    <phoneticPr fontId="1"/>
  </si>
  <si>
    <t>Windowsのエクセルは実は標準で３２bitらしいのですが、macは６４bitがインスコされるようです。</t>
    <rPh sb="13" eb="14">
      <t>ジツ</t>
    </rPh>
    <rPh sb="15" eb="17">
      <t>ヒョウジュン</t>
    </rPh>
    <phoneticPr fontId="1"/>
  </si>
  <si>
    <t>とりあえず大した機能として使っていなかったので、windowsAPIを使うところを削除しました。</t>
    <rPh sb="5" eb="6">
      <t>タイ</t>
    </rPh>
    <rPh sb="8" eb="10">
      <t>キノウ</t>
    </rPh>
    <rPh sb="13" eb="14">
      <t>ツカ</t>
    </rPh>
    <rPh sb="35" eb="36">
      <t>ツカ</t>
    </rPh>
    <rPh sb="41" eb="43">
      <t>サクジョ</t>
    </rPh>
    <phoneticPr fontId="1"/>
  </si>
  <si>
    <t>変更点１２</t>
    <rPh sb="0" eb="3">
      <t>ヘンコウテン</t>
    </rPh>
    <phoneticPr fontId="1"/>
  </si>
  <si>
    <t>予約時間帯が過ぎたあとの当日のケーブルを貸し出してる予約は返却を受け付けられるように変更</t>
    <rPh sb="0" eb="2">
      <t>ヨヤク</t>
    </rPh>
    <rPh sb="2" eb="4">
      <t>ジカン</t>
    </rPh>
    <rPh sb="4" eb="5">
      <t>タイ</t>
    </rPh>
    <rPh sb="6" eb="7">
      <t>ス</t>
    </rPh>
    <rPh sb="12" eb="14">
      <t>トウジツ</t>
    </rPh>
    <rPh sb="20" eb="21">
      <t>カ</t>
    </rPh>
    <rPh sb="22" eb="23">
      <t>ダ</t>
    </rPh>
    <rPh sb="26" eb="28">
      <t>ヨヤク</t>
    </rPh>
    <rPh sb="29" eb="31">
      <t>ヘンキャク</t>
    </rPh>
    <rPh sb="32" eb="33">
      <t>ウ</t>
    </rPh>
    <rPh sb="34" eb="35">
      <t>ツ</t>
    </rPh>
    <rPh sb="42" eb="44">
      <t>ヘンコウ</t>
    </rPh>
    <phoneticPr fontId="1"/>
  </si>
  <si>
    <t>予約を登録したあとの学籍番号をセルに代入するところなどを配列で処理するように変更。テキストボックスのどこに入力してきれいに入力されるようになりました。また、ループで必要最低限のみセルに入力するようになったので動作が軽くなりました。</t>
    <rPh sb="3" eb="5">
      <t>トウロク</t>
    </rPh>
    <rPh sb="10" eb="12">
      <t>ガクセキ</t>
    </rPh>
    <rPh sb="12" eb="14">
      <t>バンゴウ</t>
    </rPh>
    <rPh sb="18" eb="20">
      <t>ダイニュウ</t>
    </rPh>
    <rPh sb="28" eb="30">
      <t>ハイレツ</t>
    </rPh>
    <rPh sb="31" eb="33">
      <t>ショリ</t>
    </rPh>
    <rPh sb="38" eb="40">
      <t>ヘンコウ</t>
    </rPh>
    <rPh sb="53" eb="55">
      <t>ニュウリョク</t>
    </rPh>
    <rPh sb="61" eb="63">
      <t>ニュウリョク</t>
    </rPh>
    <rPh sb="82" eb="84">
      <t>ヒツヨウ</t>
    </rPh>
    <rPh sb="84" eb="87">
      <t>サイテイゲン</t>
    </rPh>
    <rPh sb="92" eb="94">
      <t>ニュウリョク</t>
    </rPh>
    <rPh sb="104" eb="106">
      <t>ドウサ</t>
    </rPh>
    <rPh sb="107" eb="108">
      <t>カル</t>
    </rPh>
    <phoneticPr fontId="1"/>
  </si>
  <si>
    <t>予約を取り消す際に予約をした学籍番号を入力しないと取り消せないように変更。ただしマスターキーとしてテキストボックスに「１９０７」を入れると問答無用で削除されます。</t>
    <rPh sb="0" eb="2">
      <t>ヨヤク</t>
    </rPh>
    <rPh sb="3" eb="4">
      <t>ト</t>
    </rPh>
    <rPh sb="5" eb="6">
      <t>ケ</t>
    </rPh>
    <rPh sb="7" eb="8">
      <t>サイ</t>
    </rPh>
    <rPh sb="9" eb="11">
      <t>ヨヤク</t>
    </rPh>
    <rPh sb="14" eb="18">
      <t>ガクセキバンゴウ</t>
    </rPh>
    <rPh sb="19" eb="21">
      <t>ニュウリョク</t>
    </rPh>
    <rPh sb="25" eb="26">
      <t>ト</t>
    </rPh>
    <rPh sb="27" eb="28">
      <t>ケ</t>
    </rPh>
    <rPh sb="34" eb="36">
      <t>ヘンコウ</t>
    </rPh>
    <rPh sb="65" eb="66">
      <t>イ</t>
    </rPh>
    <rPh sb="69" eb="71">
      <t>モンドウ</t>
    </rPh>
    <rPh sb="71" eb="73">
      <t>ムヨウ</t>
    </rPh>
    <rPh sb="74" eb="76">
      <t>サクジョ</t>
    </rPh>
    <phoneticPr fontId="1"/>
  </si>
  <si>
    <t>セルに値を登録するときに毎回メインシートの再計算をおこなっていて、そのために処理が重くなっていたため、シート再計算を制御しました</t>
    <rPh sb="3" eb="4">
      <t>アタイ</t>
    </rPh>
    <rPh sb="5" eb="7">
      <t>トウロク</t>
    </rPh>
    <rPh sb="12" eb="14">
      <t>マイカイ</t>
    </rPh>
    <rPh sb="21" eb="24">
      <t>サイケイサン</t>
    </rPh>
    <rPh sb="38" eb="40">
      <t>ショリ</t>
    </rPh>
    <rPh sb="41" eb="42">
      <t>オモ</t>
    </rPh>
    <rPh sb="54" eb="57">
      <t>サイケイサン</t>
    </rPh>
    <rPh sb="58" eb="60">
      <t>セイギョ</t>
    </rPh>
    <phoneticPr fontId="1"/>
  </si>
  <si>
    <t>メインシート予約表のデザインを変更。予約のカラーを設定。</t>
    <rPh sb="6" eb="8">
      <t>ヨヤク</t>
    </rPh>
    <rPh sb="8" eb="9">
      <t>ヒョウ</t>
    </rPh>
    <rPh sb="15" eb="17">
      <t>ヘンコウ</t>
    </rPh>
    <rPh sb="18" eb="20">
      <t>ヨヤク</t>
    </rPh>
    <rPh sb="25" eb="27">
      <t>セッテイ</t>
    </rPh>
    <phoneticPr fontId="1"/>
  </si>
  <si>
    <t>変更点１</t>
    <rPh sb="0" eb="2">
      <t>ヘンコウ</t>
    </rPh>
    <rPh sb="2" eb="3">
      <t>テン</t>
    </rPh>
    <phoneticPr fontId="1"/>
  </si>
  <si>
    <t>変更前のコードをコメントとして残していた部分を一部削除。</t>
    <rPh sb="0" eb="2">
      <t>ヘンコウ</t>
    </rPh>
    <rPh sb="2" eb="3">
      <t>マエ</t>
    </rPh>
    <rPh sb="15" eb="16">
      <t>ノコ</t>
    </rPh>
    <rPh sb="20" eb="22">
      <t>ブブン</t>
    </rPh>
    <rPh sb="23" eb="25">
      <t>イチブ</t>
    </rPh>
    <rPh sb="25" eb="27">
      <t>サクジョ</t>
    </rPh>
    <phoneticPr fontId="1"/>
  </si>
  <si>
    <t>変更点２</t>
    <rPh sb="0" eb="2">
      <t>ヘンコウ</t>
    </rPh>
    <rPh sb="2" eb="3">
      <t>テン</t>
    </rPh>
    <phoneticPr fontId="1"/>
  </si>
  <si>
    <t>メインシートにシートの再計算を行うセルと過去の予約も入力できるモードにできるセルを設定</t>
    <rPh sb="11" eb="14">
      <t>サイケイサン</t>
    </rPh>
    <rPh sb="15" eb="16">
      <t>オコナ</t>
    </rPh>
    <rPh sb="20" eb="22">
      <t>カコ</t>
    </rPh>
    <rPh sb="23" eb="25">
      <t>ヨヤク</t>
    </rPh>
    <rPh sb="26" eb="28">
      <t>ニュウリョク</t>
    </rPh>
    <rPh sb="41" eb="43">
      <t>セッテイ</t>
    </rPh>
    <phoneticPr fontId="1"/>
  </si>
  <si>
    <t>メインシートの表の各セルをvlookupからindexとmatch関数の組み合わせに変更（多少速度がましになるかと思って）。これに伴ってメインシートは時間コードを基準に昇順でソートされるようにします。（マクロは未実装）</t>
    <rPh sb="7" eb="8">
      <t>ヒョウ</t>
    </rPh>
    <rPh sb="9" eb="10">
      <t>カク</t>
    </rPh>
    <rPh sb="33" eb="35">
      <t>カンスウ</t>
    </rPh>
    <rPh sb="36" eb="37">
      <t>ク</t>
    </rPh>
    <rPh sb="38" eb="39">
      <t>ア</t>
    </rPh>
    <rPh sb="42" eb="44">
      <t>ヘンコウ</t>
    </rPh>
    <rPh sb="45" eb="47">
      <t>タショウ</t>
    </rPh>
    <rPh sb="47" eb="49">
      <t>ソクド</t>
    </rPh>
    <rPh sb="57" eb="58">
      <t>オモ</t>
    </rPh>
    <rPh sb="65" eb="66">
      <t>トモナ</t>
    </rPh>
    <rPh sb="75" eb="77">
      <t>ジカン</t>
    </rPh>
    <rPh sb="81" eb="83">
      <t>キジュン</t>
    </rPh>
    <rPh sb="84" eb="86">
      <t>ショウジュン</t>
    </rPh>
    <rPh sb="105" eb="108">
      <t>ミジッソウ</t>
    </rPh>
    <phoneticPr fontId="1"/>
  </si>
  <si>
    <t>また、マクロ内のvlookupが一番重たい原因と思われるのでそのあたりもindex+matchに変更します</t>
    <rPh sb="6" eb="7">
      <t>ナイ</t>
    </rPh>
    <rPh sb="16" eb="18">
      <t>イチバン</t>
    </rPh>
    <rPh sb="18" eb="19">
      <t>オモ</t>
    </rPh>
    <rPh sb="21" eb="23">
      <t>ゲンイン</t>
    </rPh>
    <rPh sb="24" eb="25">
      <t>オモ</t>
    </rPh>
    <rPh sb="48" eb="50">
      <t>ヘンコウ</t>
    </rPh>
    <phoneticPr fontId="1"/>
  </si>
  <si>
    <t>学籍番号対応表の更新</t>
    <rPh sb="0" eb="2">
      <t>ガクセキ</t>
    </rPh>
    <rPh sb="2" eb="4">
      <t>バンゴウ</t>
    </rPh>
    <rPh sb="4" eb="6">
      <t>タイオウ</t>
    </rPh>
    <rPh sb="6" eb="7">
      <t>ヒョウ</t>
    </rPh>
    <rPh sb="8" eb="10">
      <t>コウシン</t>
    </rPh>
    <phoneticPr fontId="1"/>
  </si>
  <si>
    <t>台帳番号が長いせいでかなり重くなっている気がするので省略した独自の番号に。入学年度下二桁、学科台帳番号、出席番号で構成される９桁の番号に変更。伴って予約取り消しのコードを変更。すっきりした。</t>
    <rPh sb="0" eb="2">
      <t>ダイチョウ</t>
    </rPh>
    <rPh sb="2" eb="4">
      <t>バンゴウ</t>
    </rPh>
    <rPh sb="5" eb="6">
      <t>ナガ</t>
    </rPh>
    <rPh sb="13" eb="14">
      <t>オモ</t>
    </rPh>
    <rPh sb="20" eb="21">
      <t>キ</t>
    </rPh>
    <rPh sb="26" eb="28">
      <t>ショウリャク</t>
    </rPh>
    <rPh sb="30" eb="32">
      <t>ドクジ</t>
    </rPh>
    <rPh sb="33" eb="35">
      <t>バンゴウ</t>
    </rPh>
    <rPh sb="37" eb="39">
      <t>ニュウガク</t>
    </rPh>
    <rPh sb="39" eb="41">
      <t>ネンド</t>
    </rPh>
    <rPh sb="41" eb="42">
      <t>シモ</t>
    </rPh>
    <rPh sb="42" eb="44">
      <t>ニケタ</t>
    </rPh>
    <rPh sb="45" eb="47">
      <t>ガッカ</t>
    </rPh>
    <rPh sb="47" eb="49">
      <t>ダイチョウ</t>
    </rPh>
    <rPh sb="49" eb="51">
      <t>バンゴウ</t>
    </rPh>
    <rPh sb="52" eb="54">
      <t>シュッセキ</t>
    </rPh>
    <rPh sb="54" eb="56">
      <t>バンゴウ</t>
    </rPh>
    <rPh sb="57" eb="59">
      <t>コウセイ</t>
    </rPh>
    <rPh sb="63" eb="64">
      <t>ケタ</t>
    </rPh>
    <rPh sb="65" eb="67">
      <t>バンゴウ</t>
    </rPh>
    <rPh sb="68" eb="70">
      <t>ヘンコウ</t>
    </rPh>
    <rPh sb="71" eb="72">
      <t>トモナ</t>
    </rPh>
    <rPh sb="74" eb="76">
      <t>ヨヤク</t>
    </rPh>
    <rPh sb="76" eb="77">
      <t>ト</t>
    </rPh>
    <rPh sb="78" eb="79">
      <t>ケ</t>
    </rPh>
    <rPh sb="85" eb="87">
      <t>ヘンコウ</t>
    </rPh>
    <phoneticPr fontId="1"/>
  </si>
  <si>
    <t>過去の予約も入力できるモードにできるセルパスコードを入力必須に変更</t>
    <rPh sb="26" eb="28">
      <t>ニュウリョク</t>
    </rPh>
    <rPh sb="28" eb="30">
      <t>ヒッス</t>
    </rPh>
    <rPh sb="31" eb="33">
      <t>ヘンコウ</t>
    </rPh>
    <phoneticPr fontId="1"/>
  </si>
  <si>
    <t>メインシートにソートを行うボタンを配置</t>
    <rPh sb="11" eb="12">
      <t>オコナ</t>
    </rPh>
    <rPh sb="17" eb="19">
      <t>ハイチ</t>
    </rPh>
    <phoneticPr fontId="1"/>
  </si>
  <si>
    <t>変更点５</t>
    <rPh sb="0" eb="3">
      <t>ヘンコウテン</t>
    </rPh>
    <phoneticPr fontId="1"/>
  </si>
  <si>
    <t>複数人表示を重複チェックシートを作成。時間や席番号ごとに表示して管理するのではなく、予約している学籍番号を取り出して、いくつ予約を取っているのかを数える</t>
    <rPh sb="0" eb="2">
      <t>フクスウ</t>
    </rPh>
    <rPh sb="2" eb="3">
      <t>ニン</t>
    </rPh>
    <rPh sb="3" eb="5">
      <t>ヒョウジ</t>
    </rPh>
    <rPh sb="6" eb="8">
      <t>ジュウフク</t>
    </rPh>
    <rPh sb="16" eb="18">
      <t>サクセイ</t>
    </rPh>
    <rPh sb="19" eb="21">
      <t>ジカン</t>
    </rPh>
    <rPh sb="22" eb="23">
      <t>セキ</t>
    </rPh>
    <rPh sb="23" eb="25">
      <t>バンゴウ</t>
    </rPh>
    <rPh sb="28" eb="30">
      <t>ヒョウジ</t>
    </rPh>
    <rPh sb="32" eb="34">
      <t>カンリ</t>
    </rPh>
    <rPh sb="42" eb="44">
      <t>ヨヤク</t>
    </rPh>
    <rPh sb="48" eb="50">
      <t>ガクセキ</t>
    </rPh>
    <rPh sb="50" eb="52">
      <t>バンゴウ</t>
    </rPh>
    <rPh sb="53" eb="54">
      <t>ト</t>
    </rPh>
    <rPh sb="55" eb="56">
      <t>ダ</t>
    </rPh>
    <rPh sb="62" eb="64">
      <t>ヨヤク</t>
    </rPh>
    <rPh sb="65" eb="66">
      <t>ト</t>
    </rPh>
    <rPh sb="73" eb="74">
      <t>カゾ</t>
    </rPh>
    <phoneticPr fontId="1"/>
  </si>
  <si>
    <t>woeksheetsfunctionで検索したときに検索した値が最小値だった場合にエラーを吐くので、エラー回避文を追加</t>
    <rPh sb="19" eb="21">
      <t>ケンサク</t>
    </rPh>
    <rPh sb="26" eb="28">
      <t>ケンサク</t>
    </rPh>
    <rPh sb="30" eb="31">
      <t>アタイ</t>
    </rPh>
    <rPh sb="32" eb="35">
      <t>サイショウチ</t>
    </rPh>
    <rPh sb="38" eb="40">
      <t>バアイ</t>
    </rPh>
    <rPh sb="45" eb="46">
      <t>ハ</t>
    </rPh>
    <rPh sb="53" eb="55">
      <t>カイヒ</t>
    </rPh>
    <rPh sb="55" eb="56">
      <t>ブン</t>
    </rPh>
    <rPh sb="57" eb="59">
      <t>ツイカ</t>
    </rPh>
    <phoneticPr fontId="1"/>
  </si>
  <si>
    <t>予約を取り消した際に重複チェックに番号が残るので、予約を取り消した時に重複チャックをマッチ検索して数を引くプロシージャーを標準モジュールに追加</t>
    <rPh sb="0" eb="2">
      <t>ヨヤク</t>
    </rPh>
    <rPh sb="3" eb="4">
      <t>ト</t>
    </rPh>
    <rPh sb="5" eb="6">
      <t>ケ</t>
    </rPh>
    <rPh sb="8" eb="9">
      <t>サイ</t>
    </rPh>
    <rPh sb="10" eb="12">
      <t>ジュウフク</t>
    </rPh>
    <rPh sb="17" eb="19">
      <t>バンゴウ</t>
    </rPh>
    <rPh sb="20" eb="21">
      <t>ノコ</t>
    </rPh>
    <rPh sb="25" eb="27">
      <t>ヨヤク</t>
    </rPh>
    <rPh sb="28" eb="29">
      <t>ト</t>
    </rPh>
    <rPh sb="30" eb="31">
      <t>ケ</t>
    </rPh>
    <rPh sb="33" eb="34">
      <t>トキ</t>
    </rPh>
    <rPh sb="35" eb="37">
      <t>ジュウフク</t>
    </rPh>
    <rPh sb="45" eb="47">
      <t>ケンサク</t>
    </rPh>
    <rPh sb="49" eb="50">
      <t>カズ</t>
    </rPh>
    <rPh sb="51" eb="52">
      <t>ヒ</t>
    </rPh>
    <rPh sb="61" eb="63">
      <t>ヒョウジュン</t>
    </rPh>
    <rPh sb="69" eb="71">
      <t>ツイカ</t>
    </rPh>
    <phoneticPr fontId="1"/>
  </si>
  <si>
    <t>学部</t>
    <rPh sb="0" eb="2">
      <t>ガクブ</t>
    </rPh>
    <phoneticPr fontId="1"/>
  </si>
  <si>
    <t>院M</t>
    <rPh sb="0" eb="1">
      <t>イン</t>
    </rPh>
    <phoneticPr fontId="1"/>
  </si>
  <si>
    <t>院D</t>
    <rPh sb="0" eb="1">
      <t>イン</t>
    </rPh>
    <phoneticPr fontId="1"/>
  </si>
  <si>
    <t>学籍番号</t>
    <rPh sb="0" eb="2">
      <t>ガクセキ</t>
    </rPh>
    <rPh sb="2" eb="4">
      <t>バンゴウ</t>
    </rPh>
    <phoneticPr fontId="1"/>
  </si>
  <si>
    <t>台帳番号</t>
    <rPh sb="0" eb="4">
      <t>ダイチョウバンゴウ</t>
    </rPh>
    <phoneticPr fontId="1"/>
  </si>
  <si>
    <t>台帳番号</t>
    <rPh sb="0" eb="2">
      <t>ダイチョウ</t>
    </rPh>
    <rPh sb="2" eb="4">
      <t>バンゴウ</t>
    </rPh>
    <phoneticPr fontId="1"/>
  </si>
  <si>
    <t>哲</t>
    <rPh sb="0" eb="1">
      <t>テツ</t>
    </rPh>
    <phoneticPr fontId="1"/>
  </si>
  <si>
    <t>史</t>
    <rPh sb="0" eb="1">
      <t>シ</t>
    </rPh>
    <phoneticPr fontId="1"/>
  </si>
  <si>
    <t>日本史</t>
    <rPh sb="0" eb="3">
      <t>ニホンシ</t>
    </rPh>
    <phoneticPr fontId="1"/>
  </si>
  <si>
    <t>国文</t>
    <rPh sb="0" eb="2">
      <t>コクブン</t>
    </rPh>
    <phoneticPr fontId="1"/>
  </si>
  <si>
    <t>外国氏</t>
    <rPh sb="0" eb="2">
      <t>ガイコク</t>
    </rPh>
    <rPh sb="2" eb="3">
      <t>シ</t>
    </rPh>
    <phoneticPr fontId="1"/>
  </si>
  <si>
    <t>中文</t>
    <rPh sb="0" eb="2">
      <t>チュウブン</t>
    </rPh>
    <phoneticPr fontId="1"/>
  </si>
  <si>
    <t>英文</t>
    <rPh sb="0" eb="2">
      <t>エイブン</t>
    </rPh>
    <phoneticPr fontId="1"/>
  </si>
  <si>
    <t>ドイツ文</t>
    <rPh sb="3" eb="4">
      <t>ブン</t>
    </rPh>
    <phoneticPr fontId="1"/>
  </si>
  <si>
    <t>社会</t>
    <rPh sb="0" eb="2">
      <t>シャカイ</t>
    </rPh>
    <phoneticPr fontId="1"/>
  </si>
  <si>
    <t>教育</t>
    <rPh sb="0" eb="2">
      <t>キョウイク</t>
    </rPh>
    <phoneticPr fontId="1"/>
  </si>
  <si>
    <t>体育</t>
    <rPh sb="0" eb="2">
      <t>タイイク</t>
    </rPh>
    <phoneticPr fontId="1"/>
  </si>
  <si>
    <t>心理</t>
    <rPh sb="0" eb="2">
      <t>シンリ</t>
    </rPh>
    <phoneticPr fontId="1"/>
  </si>
  <si>
    <t>社会福祉</t>
    <rPh sb="0" eb="2">
      <t>シャカイ</t>
    </rPh>
    <rPh sb="2" eb="4">
      <t>フクシ</t>
    </rPh>
    <phoneticPr fontId="1"/>
  </si>
  <si>
    <t>地理学</t>
    <rPh sb="0" eb="3">
      <t>チリガク</t>
    </rPh>
    <phoneticPr fontId="1"/>
  </si>
  <si>
    <t>地理</t>
    <rPh sb="0" eb="2">
      <t>チリ</t>
    </rPh>
    <phoneticPr fontId="1"/>
  </si>
  <si>
    <t>地球情報数理科</t>
    <rPh sb="0" eb="2">
      <t>チキュウ</t>
    </rPh>
    <rPh sb="2" eb="4">
      <t>ジョウホウ</t>
    </rPh>
    <rPh sb="4" eb="6">
      <t>スウリ</t>
    </rPh>
    <rPh sb="6" eb="7">
      <t>カ</t>
    </rPh>
    <phoneticPr fontId="1"/>
  </si>
  <si>
    <t>地球科</t>
    <rPh sb="0" eb="2">
      <t>チキュウ</t>
    </rPh>
    <rPh sb="2" eb="3">
      <t>カ</t>
    </rPh>
    <phoneticPr fontId="1"/>
  </si>
  <si>
    <t>相関理化学</t>
    <rPh sb="0" eb="5">
      <t>ソウカンリカガク</t>
    </rPh>
    <phoneticPr fontId="1"/>
  </si>
  <si>
    <t>数</t>
    <rPh sb="0" eb="1">
      <t>カズ</t>
    </rPh>
    <phoneticPr fontId="1"/>
  </si>
  <si>
    <t>情報化</t>
    <rPh sb="0" eb="3">
      <t>ジョウホウカ</t>
    </rPh>
    <phoneticPr fontId="1"/>
  </si>
  <si>
    <t>ワイルドカード</t>
    <phoneticPr fontId="1"/>
  </si>
  <si>
    <t>物理</t>
    <rPh sb="0" eb="2">
      <t>ブツリ</t>
    </rPh>
    <phoneticPr fontId="1"/>
  </si>
  <si>
    <t>生命科</t>
    <rPh sb="0" eb="2">
      <t>セイメイ</t>
    </rPh>
    <rPh sb="2" eb="3">
      <t>カ</t>
    </rPh>
    <phoneticPr fontId="1"/>
  </si>
  <si>
    <t>化</t>
    <rPh sb="0" eb="1">
      <t>カ</t>
    </rPh>
    <phoneticPr fontId="1"/>
  </si>
  <si>
    <t>台帳番号＝入学年度＋040+上の表の台帳番号+0+学籍番号の末３桁(M,D→0)+0</t>
    <rPh sb="0" eb="2">
      <t>ダイチョウ</t>
    </rPh>
    <rPh sb="2" eb="4">
      <t>バンゴウ</t>
    </rPh>
    <rPh sb="5" eb="7">
      <t>ニュウガク</t>
    </rPh>
    <rPh sb="7" eb="9">
      <t>ネンド</t>
    </rPh>
    <rPh sb="14" eb="15">
      <t>ウエ</t>
    </rPh>
    <rPh sb="16" eb="17">
      <t>ヒョウ</t>
    </rPh>
    <rPh sb="18" eb="20">
      <t>ダイチョウ</t>
    </rPh>
    <rPh sb="20" eb="22">
      <t>バンゴウ</t>
    </rPh>
    <rPh sb="25" eb="27">
      <t>ガクセキ</t>
    </rPh>
    <rPh sb="27" eb="29">
      <t>バンゴウ</t>
    </rPh>
    <rPh sb="30" eb="31">
      <t>マツ</t>
    </rPh>
    <rPh sb="32" eb="33">
      <t>ケタ</t>
    </rPh>
    <phoneticPr fontId="1"/>
  </si>
  <si>
    <t>黄色のところは確証はないが、とりあえずそう変換されます</t>
    <rPh sb="0" eb="2">
      <t>キイロ</t>
    </rPh>
    <rPh sb="7" eb="9">
      <t>カクショウ</t>
    </rPh>
    <rPh sb="21" eb="23">
      <t>ヘンカン</t>
    </rPh>
    <phoneticPr fontId="1"/>
  </si>
  <si>
    <t>ディスプレイメモ</t>
    <phoneticPr fontId="1"/>
  </si>
  <si>
    <t>横幅</t>
    <rPh sb="0" eb="2">
      <t>ヨコハバ</t>
    </rPh>
    <phoneticPr fontId="1"/>
  </si>
  <si>
    <t>縦</t>
    <rPh sb="0" eb="1">
      <t>タテ</t>
    </rPh>
    <phoneticPr fontId="1"/>
  </si>
  <si>
    <t>変更点３</t>
    <rPh sb="0" eb="3">
      <t>ヘンコウテン</t>
    </rPh>
    <phoneticPr fontId="1"/>
  </si>
  <si>
    <t>UIを大きくわかりやすく変更</t>
    <rPh sb="3" eb="4">
      <t>オオ</t>
    </rPh>
    <rPh sb="12" eb="14">
      <t>ヘンコウ</t>
    </rPh>
    <phoneticPr fontId="1"/>
  </si>
  <si>
    <t>変更点４</t>
    <rPh sb="0" eb="3">
      <t>ヘンコウテン</t>
    </rPh>
    <phoneticPr fontId="1"/>
  </si>
  <si>
    <t>日付と時刻のセルの位置を移動</t>
    <rPh sb="0" eb="2">
      <t>ヒヅケ</t>
    </rPh>
    <rPh sb="3" eb="5">
      <t>ジコク</t>
    </rPh>
    <rPh sb="9" eb="11">
      <t>イチ</t>
    </rPh>
    <rPh sb="12" eb="14">
      <t>イドウ</t>
    </rPh>
    <phoneticPr fontId="1"/>
  </si>
  <si>
    <t>番号</t>
    <rPh sb="0" eb="2">
      <t>バンゴウ</t>
    </rPh>
    <phoneticPr fontId="1"/>
  </si>
  <si>
    <t>専攻</t>
    <rPh sb="0" eb="2">
      <t>センコウ</t>
    </rPh>
    <phoneticPr fontId="1"/>
  </si>
  <si>
    <t>学年</t>
    <rPh sb="0" eb="2">
      <t>ガクネン</t>
    </rPh>
    <phoneticPr fontId="1"/>
  </si>
  <si>
    <t>名前</t>
    <rPh sb="0" eb="2">
      <t>ナマエ</t>
    </rPh>
    <phoneticPr fontId="1"/>
  </si>
  <si>
    <t>プロフィール画像</t>
    <rPh sb="6" eb="8">
      <t>ガゾウ</t>
    </rPh>
    <phoneticPr fontId="1"/>
  </si>
  <si>
    <t>一言</t>
    <rPh sb="0" eb="2">
      <t>ヒトコト</t>
    </rPh>
    <phoneticPr fontId="1"/>
  </si>
  <si>
    <t>哲学科</t>
    <rPh sb="0" eb="3">
      <t>テツガクカ</t>
    </rPh>
    <phoneticPr fontId="1"/>
  </si>
  <si>
    <t>M1</t>
    <phoneticPr fontId="1"/>
  </si>
  <si>
    <t/>
  </si>
  <si>
    <t>M2</t>
    <phoneticPr fontId="1"/>
  </si>
  <si>
    <t>教育</t>
    <rPh sb="0" eb="2">
      <t>キョウイク</t>
    </rPh>
    <phoneticPr fontId="1"/>
  </si>
  <si>
    <t>勤務時間帯開始</t>
    <rPh sb="0" eb="2">
      <t>キンム</t>
    </rPh>
    <rPh sb="2" eb="4">
      <t>ジカン</t>
    </rPh>
    <rPh sb="4" eb="5">
      <t>タイ</t>
    </rPh>
    <rPh sb="5" eb="7">
      <t>カイシ</t>
    </rPh>
    <phoneticPr fontId="1"/>
  </si>
  <si>
    <t>勤務時間帯終了</t>
    <rPh sb="0" eb="2">
      <t>キンム</t>
    </rPh>
    <rPh sb="2" eb="4">
      <t>ジカン</t>
    </rPh>
    <rPh sb="4" eb="5">
      <t>タイ</t>
    </rPh>
    <rPh sb="5" eb="7">
      <t>シュウリョウ</t>
    </rPh>
    <phoneticPr fontId="1"/>
  </si>
  <si>
    <t>勤務No</t>
    <rPh sb="0" eb="2">
      <t>キンム</t>
    </rPh>
    <phoneticPr fontId="1"/>
  </si>
  <si>
    <t>M2</t>
    <phoneticPr fontId="1"/>
  </si>
  <si>
    <t>M1</t>
    <phoneticPr fontId="1"/>
  </si>
  <si>
    <t>C:\Users\haradayuii\Pictures\thVUQRHTTM.jpg</t>
  </si>
  <si>
    <t>C:\Users\haradayuii\Pictures\IMG_5303.jpg</t>
  </si>
  <si>
    <t>C:\Users\haradayuii\Pictures\maru2015010702-600x315.jpg</t>
  </si>
  <si>
    <t>on</t>
    <phoneticPr fontId="1"/>
  </si>
  <si>
    <t>off</t>
    <phoneticPr fontId="1"/>
  </si>
  <si>
    <t>LAコントロールパネル</t>
    <phoneticPr fontId="1"/>
  </si>
  <si>
    <t>状態</t>
    <rPh sb="0" eb="2">
      <t>ジョウタイ</t>
    </rPh>
    <phoneticPr fontId="1"/>
  </si>
  <si>
    <t>勤務中シフト番号</t>
    <rPh sb="0" eb="3">
      <t>キンムチュウ</t>
    </rPh>
    <rPh sb="6" eb="8">
      <t>バンゴウ</t>
    </rPh>
    <phoneticPr fontId="1"/>
  </si>
  <si>
    <t>空白のコマをタッチかクリックをすることで予約フォームが表示されます</t>
    <rPh sb="0" eb="2">
      <t>クウハク</t>
    </rPh>
    <rPh sb="20" eb="22">
      <t>ヨヤク</t>
    </rPh>
    <rPh sb="27" eb="29">
      <t>ヒョウジ</t>
    </rPh>
    <phoneticPr fontId="1"/>
  </si>
  <si>
    <t>１日に予約できるコマ数は２コマまでです（現状）</t>
    <rPh sb="1" eb="2">
      <t>ニチ</t>
    </rPh>
    <rPh sb="3" eb="5">
      <t>ヨヤク</t>
    </rPh>
    <rPh sb="10" eb="11">
      <t>スウ</t>
    </rPh>
    <rPh sb="20" eb="22">
      <t>ゲンジョウ</t>
    </rPh>
    <phoneticPr fontId="1"/>
  </si>
  <si>
    <t>中文学科</t>
    <rPh sb="0" eb="2">
      <t>チュウブン</t>
    </rPh>
    <rPh sb="2" eb="4">
      <t>ガッカ</t>
    </rPh>
    <phoneticPr fontId="1"/>
  </si>
  <si>
    <t>おさかべさん</t>
    <phoneticPr fontId="1"/>
  </si>
  <si>
    <t>史学科</t>
    <rPh sb="0" eb="3">
      <t>シガクカ</t>
    </rPh>
    <phoneticPr fontId="1"/>
  </si>
  <si>
    <t>ひろせさん</t>
    <phoneticPr fontId="1"/>
  </si>
  <si>
    <t>D1</t>
    <phoneticPr fontId="1"/>
  </si>
  <si>
    <t>かとーさん</t>
    <phoneticPr fontId="1"/>
  </si>
  <si>
    <t>ふくいさん</t>
    <phoneticPr fontId="1"/>
  </si>
  <si>
    <t>哲学か</t>
    <rPh sb="0" eb="2">
      <t>テツガク</t>
    </rPh>
    <phoneticPr fontId="1"/>
  </si>
  <si>
    <t>みぞぐちさん</t>
    <phoneticPr fontId="1"/>
  </si>
  <si>
    <t>史学科？</t>
    <rPh sb="0" eb="3">
      <t>シガクカ</t>
    </rPh>
    <phoneticPr fontId="1"/>
  </si>
  <si>
    <t>しおたさん</t>
    <phoneticPr fontId="1"/>
  </si>
  <si>
    <t>ふめい</t>
    <phoneticPr fontId="1"/>
  </si>
  <si>
    <t>いながきさん</t>
    <phoneticPr fontId="1"/>
  </si>
  <si>
    <t>社会学科</t>
    <rPh sb="0" eb="2">
      <t>シャカイ</t>
    </rPh>
    <rPh sb="2" eb="4">
      <t>ガッカ</t>
    </rPh>
    <phoneticPr fontId="1"/>
  </si>
  <si>
    <t>とうさん</t>
    <phoneticPr fontId="1"/>
  </si>
  <si>
    <t>体育学科</t>
    <rPh sb="0" eb="2">
      <t>タイイク</t>
    </rPh>
    <rPh sb="2" eb="4">
      <t>ガッカ</t>
    </rPh>
    <phoneticPr fontId="1"/>
  </si>
  <si>
    <t>しょうさん</t>
    <phoneticPr fontId="1"/>
  </si>
  <si>
    <t>心理学科</t>
    <rPh sb="0" eb="2">
      <t>シンリ</t>
    </rPh>
    <rPh sb="2" eb="4">
      <t>ガッカ</t>
    </rPh>
    <phoneticPr fontId="1"/>
  </si>
  <si>
    <t>かまたさん</t>
    <phoneticPr fontId="1"/>
  </si>
  <si>
    <t>地球何とか</t>
    <rPh sb="0" eb="2">
      <t>チキュウ</t>
    </rPh>
    <rPh sb="2" eb="3">
      <t>ナン</t>
    </rPh>
    <phoneticPr fontId="1"/>
  </si>
  <si>
    <t>こばやしさん</t>
    <phoneticPr fontId="1"/>
  </si>
  <si>
    <t>相関何とか</t>
    <rPh sb="0" eb="2">
      <t>ソウカン</t>
    </rPh>
    <rPh sb="2" eb="3">
      <t>ナン</t>
    </rPh>
    <phoneticPr fontId="1"/>
  </si>
  <si>
    <t>M１</t>
    <phoneticPr fontId="1"/>
  </si>
  <si>
    <t>はらだ</t>
    <phoneticPr fontId="1"/>
  </si>
  <si>
    <t>M1</t>
    <phoneticPr fontId="1"/>
  </si>
  <si>
    <t>さかぐちさん</t>
    <phoneticPr fontId="1"/>
  </si>
  <si>
    <t>なんかすごい</t>
    <phoneticPr fontId="1"/>
  </si>
  <si>
    <t>やさしい</t>
    <phoneticPr fontId="1"/>
  </si>
  <si>
    <t>おもしろいよくしゃべる</t>
    <phoneticPr fontId="1"/>
  </si>
  <si>
    <t>みすたーパーフェクト</t>
    <phoneticPr fontId="1"/>
  </si>
  <si>
    <t>おもしろい</t>
    <phoneticPr fontId="1"/>
  </si>
  <si>
    <t>バイク通学</t>
    <rPh sb="3" eb="5">
      <t>ツウガク</t>
    </rPh>
    <phoneticPr fontId="1"/>
  </si>
  <si>
    <t>あったことない</t>
    <phoneticPr fontId="1"/>
  </si>
  <si>
    <t>つよい</t>
    <phoneticPr fontId="1"/>
  </si>
  <si>
    <t>身長が高い</t>
    <rPh sb="0" eb="2">
      <t>シンチョウ</t>
    </rPh>
    <rPh sb="3" eb="4">
      <t>タカ</t>
    </rPh>
    <phoneticPr fontId="1"/>
  </si>
  <si>
    <t>すごい</t>
    <phoneticPr fontId="1"/>
  </si>
  <si>
    <t>ノーコメント</t>
    <phoneticPr fontId="1"/>
  </si>
  <si>
    <t>ねこ</t>
    <phoneticPr fontId="1"/>
  </si>
  <si>
    <t>かわいい</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</si>
</sst>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_);[Red]\(0\)"/>
    <numFmt numFmtId="177" formatCode="h:mm;@"/>
    <numFmt numFmtId="178" formatCode="0.00_);[Red]\(0.00\)"/>
  </numFmts>
  <fonts count="10">
    <font>
      <sz val="11"/>
      <color theme="1"/>
      <name val="游ゴシック"/>
      <family val="2"/>
      <charset val="128"/>
      <scheme val="minor"/>
    </font>
    <font>
      <sz val="6"/>
      <name val="游ゴシック"/>
      <family val="2"/>
      <charset val="128"/>
      <scheme val="minor"/>
    </font>
    <font>
      <sz val="11"/>
      <color rgb="FFFF0000"/>
      <name val="游ゴシック"/>
      <family val="2"/>
      <charset val="128"/>
      <scheme val="minor"/>
    </font>
    <font>
      <sz val="12"/>
      <color theme="1"/>
      <name val="BIZ UDPゴシック"/>
      <family val="3"/>
      <charset val="128"/>
    </font>
    <font>
      <sz val="28"/>
      <color theme="1"/>
      <name val="源ノ角ゴシック JP"/>
      <family val="2"/>
      <charset val="128"/>
    </font>
    <font>
      <sz val="24"/>
      <color theme="1"/>
      <name val="源ノ角ゴシック JP"/>
      <family val="2"/>
      <charset val="128"/>
    </font>
    <font>
      <sz val="22"/>
      <color theme="1"/>
      <name val="源ノ角ゴシック JP"/>
      <family val="2"/>
      <charset val="128"/>
    </font>
    <font>
      <sz val="16"/>
      <color theme="1"/>
      <name val="源ノ角ゴシック JP"/>
      <family val="2"/>
      <charset val="128"/>
    </font>
    <font>
      <sz val="11"/>
      <color rgb="FF000000"/>
      <name val="游ゴシック"/>
      <family val="3"/>
      <charset val="128"/>
    </font>
    <font>
      <sz val="20"/>
      <color theme="1"/>
      <name val="源ノ角ゴシック JP"/>
      <family val="2"/>
      <charset val="128"/>
    </font>
  </fonts>
  <fills count="7">
    <fill>
      <patternFill patternType="none"/>
    </fill>
    <fill>
      <patternFill patternType="gray125"/>
    </fill>
    <fill>
      <patternFill patternType="solid">
        <fgColor rgb="FFFFFF00"/>
        <bgColor indexed="64"/>
      </patternFill>
    </fill>
    <fill>
      <patternFill patternType="solid">
        <fgColor rgb="FFFFD1D1"/>
        <bgColor indexed="64"/>
      </patternFill>
    </fill>
    <fill>
      <patternFill patternType="solid">
        <fgColor rgb="FFA2B3C1"/>
        <bgColor indexed="64"/>
      </patternFill>
    </fill>
    <fill>
      <patternFill patternType="solid">
        <fgColor rgb="FFC3A0A0"/>
        <bgColor indexed="64"/>
      </patternFill>
    </fill>
    <fill>
      <patternFill patternType="solid">
        <fgColor rgb="FFFFFFFF"/>
        <bgColor indexed="64"/>
      </patternFill>
    </fill>
  </fills>
  <borders count="1">
    <border>
      <left/>
      <right/>
      <top/>
      <bottom/>
      <diagonal/>
    </border>
  </borders>
  <cellStyleXfs count="1">
    <xf numFmtId="0" fontId="0" fillId="0" borderId="0">
      <alignment vertical="center"/>
    </xf>
  </cellStyleXfs>
  <cellXfs count="37">
    <xf numFmtId="0" fontId="0" fillId="0" borderId="0" xfId="0">
      <alignment vertical="center"/>
    </xf>
    <xf numFmtId="0" fontId="0" fillId="0" borderId="0" xfId="0" applyAlignment="1">
      <alignment vertical="center" wrapText="1"/>
    </xf>
    <xf numFmtId="176" fontId="0" fillId="0" borderId="0" xfId="0" applyNumberFormat="1">
      <alignment vertical="center"/>
    </xf>
    <xf numFmtId="0" fontId="0" fillId="0" borderId="0" xfId="0" applyNumberFormat="1">
      <alignment vertical="center"/>
    </xf>
    <xf numFmtId="0" fontId="0" fillId="0" borderId="0" xfId="0" applyFill="1" applyBorder="1" applyAlignment="1">
      <alignment horizontal="center" vertical="center"/>
    </xf>
    <xf numFmtId="49" fontId="0" fillId="0" borderId="0" xfId="0" applyNumberFormat="1">
      <alignment vertical="center"/>
    </xf>
    <xf numFmtId="22" fontId="0" fillId="0" borderId="0" xfId="0" applyNumberFormat="1">
      <alignment vertical="center"/>
    </xf>
    <xf numFmtId="20" fontId="0" fillId="0" borderId="0" xfId="0" applyNumberFormat="1">
      <alignment vertical="center"/>
    </xf>
    <xf numFmtId="14" fontId="0" fillId="0" borderId="0" xfId="0" applyNumberFormat="1">
      <alignment vertical="center"/>
    </xf>
    <xf numFmtId="0" fontId="2" fillId="0" borderId="0" xfId="0" applyFont="1">
      <alignment vertical="center"/>
    </xf>
    <xf numFmtId="56" fontId="0" fillId="0" borderId="0" xfId="0" applyNumberFormat="1">
      <alignment vertical="center"/>
    </xf>
    <xf numFmtId="0" fontId="0" fillId="0" borderId="0" xfId="0" applyNumberFormat="1" applyProtection="1">
      <alignment vertical="center"/>
    </xf>
    <xf numFmtId="0" fontId="0" fillId="0" borderId="0" xfId="0" applyFill="1">
      <alignment vertical="center"/>
    </xf>
    <xf numFmtId="0" fontId="0" fillId="2" borderId="0" xfId="0" applyFill="1">
      <alignment vertical="center"/>
    </xf>
    <xf numFmtId="0" fontId="3" fillId="0" borderId="0" xfId="0" applyFont="1" applyAlignment="1">
      <alignment horizontal="center" vertical="center"/>
    </xf>
    <xf numFmtId="14" fontId="5" fillId="0" borderId="0" xfId="0" applyNumberFormat="1" applyFont="1" applyAlignment="1">
      <alignment horizontal="center" vertical="center"/>
    </xf>
    <xf numFmtId="177" fontId="4" fillId="0" borderId="0" xfId="0" applyNumberFormat="1" applyFont="1" applyAlignment="1">
      <alignment horizontal="center" vertical="center"/>
    </xf>
    <xf numFmtId="14" fontId="7" fillId="0" borderId="0" xfId="0" applyNumberFormat="1" applyFont="1" applyAlignment="1">
      <alignment horizontal="center" vertical="center"/>
    </xf>
    <xf numFmtId="19" fontId="7" fillId="0" borderId="0" xfId="0" applyNumberFormat="1" applyFont="1" applyAlignment="1">
      <alignment horizontal="center" vertical="center"/>
    </xf>
    <xf numFmtId="178" fontId="0" fillId="0" borderId="0" xfId="0" applyNumberFormat="1">
      <alignment vertical="center"/>
    </xf>
    <xf numFmtId="0" fontId="0" fillId="0" borderId="0" xfId="0" applyFill="1" applyBorder="1">
      <alignment vertical="center"/>
    </xf>
    <xf numFmtId="0" fontId="3" fillId="0" borderId="0" xfId="0" applyFont="1" applyFill="1" applyBorder="1" applyAlignment="1">
      <alignment horizontal="center" vertical="center"/>
    </xf>
    <xf numFmtId="0" fontId="0" fillId="0" borderId="0" xfId="0" applyFill="1" applyBorder="1" applyAlignment="1">
      <alignment vertical="center"/>
    </xf>
    <xf numFmtId="0" fontId="4" fillId="0" borderId="0" xfId="0" applyFont="1" applyFill="1" applyBorder="1" applyAlignment="1">
      <alignment horizontal="center" vertical="center"/>
    </xf>
    <xf numFmtId="0" fontId="0" fillId="0" borderId="0" xfId="0" applyFont="1" applyFill="1" applyBorder="1" applyAlignment="1">
      <alignment horizontal="center" vertical="center"/>
    </xf>
    <xf numFmtId="0" fontId="6" fillId="0" borderId="0" xfId="0" applyFont="1" applyFill="1" applyBorder="1" applyAlignment="1">
      <alignment horizontal="center" vertical="center"/>
    </xf>
    <xf numFmtId="0" fontId="0" fillId="0" borderId="0" xfId="0">
      <alignment vertical="center"/>
    </xf>
    <xf numFmtId="0" fontId="6" fillId="3" borderId="0" xfId="0" applyFont="1" applyFill="1" applyBorder="1" applyAlignment="1">
      <alignment horizontal="center" vertical="center" wrapText="1"/>
    </xf>
    <xf numFmtId="0" fontId="9" fillId="0" borderId="0" xfId="0" applyFont="1">
      <alignment vertical="center"/>
    </xf>
    <xf numFmtId="0" fontId="0" fillId="0" borderId="0" xfId="0">
      <alignment vertical="center"/>
    </xf>
    <xf numFmtId="0" fontId="4" fillId="0" borderId="0" xfId="0" applyFont="1" applyFill="1" applyBorder="1" applyAlignment="1">
      <alignment horizontal="center" vertical="center" textRotation="255"/>
    </xf>
    <xf numFmtId="0" fontId="0" fillId="0" borderId="0" xfId="0" applyFill="1" applyBorder="1">
      <alignment vertical="center"/>
    </xf>
    <xf numFmtId="49" fontId="0" fillId="0" borderId="0" xfId="0" applyNumberFormat="1" applyAlignment="1">
      <alignment horizontal="center" vertical="center"/>
    </xf>
    <xf numFmtId="0" fontId="0" fillId="0" borderId="0" xfId="0">
      <alignment vertical="center"/>
    </xf>
    <xf numFmtId="0" fontId="6" fillId="4" borderId="0" xfId="0" applyFont="1" applyFill="1" applyBorder="1" applyAlignment="1">
      <alignment horizontal="center" vertical="center" wrapText="1"/>
    </xf>
    <xf numFmtId="0" fontId="6" fillId="5" borderId="0" xfId="0" applyFont="1" applyFill="1" applyBorder="1" applyAlignment="1">
      <alignment horizontal="center" vertical="center" wrapText="1"/>
    </xf>
    <xf numFmtId="0" fontId="6" fillId="6" borderId="0" xfId="0" applyFont="1" applyFill="1" applyBorder="1" applyAlignment="1">
      <alignment horizontal="center" vertical="center" wrapText="1"/>
    </xf>
  </cellXfs>
  <cellStyles count="1">
    <cellStyle name="標準" xfId="0" builtinId="0"/>
  </cellStyles>
  <dxfs count="0"/>
  <tableStyles count="0" defaultTableStyle="TableStyleMedium2" defaultPivotStyle="PivotStyleLight16"/>
  <colors>
    <mruColors>
      <color rgb="FFFFFFFF"/>
      <color rgb="FF6D94E1"/>
      <color rgb="FFD4EAFC"/>
      <color rgb="FFC0D3E4"/>
      <color rgb="FFA2B3C1"/>
      <color rgb="FFC0D9F2"/>
      <color rgb="FFA3C4EF"/>
      <color rgb="FF9AB5EA"/>
      <color rgb="FFA5C8E5"/>
      <color rgb="FFD6E2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3" Type="http://schemas.openxmlformats.org/officeDocument/2006/relationships/image" Target="file:///C:\Users\haradayuii\Pictures\IMG_5303.jpg" TargetMode="External"/><Relationship Id="rId2" Type="http://schemas.openxmlformats.org/officeDocument/2006/relationships/image" Target="file:///C:\Users\haradayuii\Pictures\thVUQRHTTM.jpg" TargetMode="External"/><Relationship Id="rId1" Type="http://schemas.openxmlformats.org/officeDocument/2006/relationships/image" Target="file:///C:\Users\haradayuii\Pictures\maru2015010702-600x315.jpg" TargetMode="External"/></Relationships>
</file>

<file path=xl/drawings/drawing1.xml><?xml version="1.0" encoding="utf-8"?>
<xdr:wsDr xmlns:xdr="http://schemas.openxmlformats.org/drawingml/2006/spreadsheetDrawing" xmlns:a="http://schemas.openxmlformats.org/drawingml/2006/main">
  <xdr:twoCellAnchor>
    <xdr:from>
      <xdr:col>1</xdr:col>
      <xdr:colOff>29172</xdr:colOff>
      <xdr:row>2</xdr:row>
      <xdr:rowOff>377428</xdr:rowOff>
    </xdr:from>
    <xdr:to>
      <xdr:col>9</xdr:col>
      <xdr:colOff>185141</xdr:colOff>
      <xdr:row>3</xdr:row>
      <xdr:rowOff>9524</xdr:rowOff>
    </xdr:to>
    <xdr:cxnSp macro="">
      <xdr:nvCxnSpPr>
        <xdr:cNvPr id="53" name="直線コネクタ 52">
          <a:extLst>
            <a:ext uri="{FF2B5EF4-FFF2-40B4-BE49-F238E27FC236}">
              <a16:creationId xmlns:a16="http://schemas.microsoft.com/office/drawing/2014/main" id="{00000000-0008-0000-0000-000035000000}"/>
            </a:ext>
          </a:extLst>
        </xdr:cNvPr>
        <xdr:cNvCxnSpPr/>
      </xdr:nvCxnSpPr>
      <xdr:spPr>
        <a:xfrm flipH="1" flipV="1">
          <a:off x="493516" y="1133476"/>
          <a:ext cx="10437016" cy="13096"/>
        </a:xfrm>
        <a:prstGeom prst="line">
          <a:avLst/>
        </a:prstGeom>
        <a:ln w="114300">
          <a:solidFill>
            <a:srgbClr val="FFFFFF"/>
          </a:solidFill>
        </a:ln>
      </xdr:spPr>
      <xdr:style>
        <a:lnRef idx="3">
          <a:schemeClr val="accent3"/>
        </a:lnRef>
        <a:fillRef idx="0">
          <a:schemeClr val="accent3"/>
        </a:fillRef>
        <a:effectRef idx="2">
          <a:schemeClr val="accent3"/>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20</xdr:col>
          <xdr:colOff>50800</xdr:colOff>
          <xdr:row>1</xdr:row>
          <xdr:rowOff>152400</xdr:rowOff>
        </xdr:from>
        <xdr:to>
          <xdr:col>23</xdr:col>
          <xdr:colOff>177800</xdr:colOff>
          <xdr:row>2</xdr:row>
          <xdr:rowOff>336550</xdr:rowOff>
        </xdr:to>
        <xdr:sp macro="" textlink="">
          <xdr:nvSpPr>
            <xdr:cNvPr id="2732" name="Button 684" hidden="1">
              <a:extLst>
                <a:ext uri="{63B3BB69-23CF-44E3-9099-C40C66FF867C}">
                  <a14:compatExt spid="_x0000_s2732"/>
                </a:ext>
                <a:ext uri="{FF2B5EF4-FFF2-40B4-BE49-F238E27FC236}">
                  <a16:creationId xmlns:a16="http://schemas.microsoft.com/office/drawing/2014/main" id="{00000000-0008-0000-0000-0000AC0A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ワークシート再計算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88900</xdr:colOff>
          <xdr:row>3</xdr:row>
          <xdr:rowOff>88900</xdr:rowOff>
        </xdr:from>
        <xdr:to>
          <xdr:col>23</xdr:col>
          <xdr:colOff>234950</xdr:colOff>
          <xdr:row>3</xdr:row>
          <xdr:rowOff>831850</xdr:rowOff>
        </xdr:to>
        <xdr:sp macro="" textlink="">
          <xdr:nvSpPr>
            <xdr:cNvPr id="2733" name="Button 685" hidden="1">
              <a:extLst>
                <a:ext uri="{63B3BB69-23CF-44E3-9099-C40C66FF867C}">
                  <a14:compatExt spid="_x0000_s2733"/>
                </a:ext>
                <a:ext uri="{FF2B5EF4-FFF2-40B4-BE49-F238E27FC236}">
                  <a16:creationId xmlns:a16="http://schemas.microsoft.com/office/drawing/2014/main" id="{00000000-0008-0000-0000-0000AD0A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マスター入力モード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127000</xdr:colOff>
          <xdr:row>5</xdr:row>
          <xdr:rowOff>107950</xdr:rowOff>
        </xdr:from>
        <xdr:to>
          <xdr:col>23</xdr:col>
          <xdr:colOff>285750</xdr:colOff>
          <xdr:row>5</xdr:row>
          <xdr:rowOff>717550</xdr:rowOff>
        </xdr:to>
        <xdr:sp macro="" textlink="">
          <xdr:nvSpPr>
            <xdr:cNvPr id="2737" name="Button 689" hidden="1">
              <a:extLst>
                <a:ext uri="{63B3BB69-23CF-44E3-9099-C40C66FF867C}">
                  <a14:compatExt spid="_x0000_s2737"/>
                </a:ext>
                <a:ext uri="{FF2B5EF4-FFF2-40B4-BE49-F238E27FC236}">
                  <a16:creationId xmlns:a16="http://schemas.microsoft.com/office/drawing/2014/main" id="{00000000-0008-0000-0000-0000B10A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生データソート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95250</xdr:colOff>
          <xdr:row>4</xdr:row>
          <xdr:rowOff>228600</xdr:rowOff>
        </xdr:from>
        <xdr:to>
          <xdr:col>23</xdr:col>
          <xdr:colOff>381000</xdr:colOff>
          <xdr:row>4</xdr:row>
          <xdr:rowOff>749300</xdr:rowOff>
        </xdr:to>
        <xdr:sp macro="" textlink="">
          <xdr:nvSpPr>
            <xdr:cNvPr id="2747" name="Button 699" hidden="1">
              <a:extLst>
                <a:ext uri="{63B3BB69-23CF-44E3-9099-C40C66FF867C}">
                  <a14:compatExt spid="_x0000_s2747"/>
                </a:ext>
                <a:ext uri="{FF2B5EF4-FFF2-40B4-BE49-F238E27FC236}">
                  <a16:creationId xmlns:a16="http://schemas.microsoft.com/office/drawing/2014/main" id="{00000000-0008-0000-0000-0000BB0A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選択カーソルを強制移動</a:t>
              </a:r>
            </a:p>
          </xdr:txBody>
        </xdr:sp>
        <xdr:clientData fPrintsWithSheet="0"/>
      </xdr:twoCellAnchor>
    </mc:Choice>
    <mc:Fallback/>
  </mc:AlternateContent>
  <xdr:twoCellAnchor>
    <xdr:from>
      <xdr:col>2</xdr:col>
      <xdr:colOff>1404937</xdr:colOff>
      <xdr:row>2</xdr:row>
      <xdr:rowOff>-1</xdr:rowOff>
    </xdr:from>
    <xdr:to>
      <xdr:col>3</xdr:col>
      <xdr:colOff>5952</xdr:colOff>
      <xdr:row>8</xdr:row>
      <xdr:rowOff>77391</xdr:rowOff>
    </xdr:to>
    <xdr:cxnSp macro="">
      <xdr:nvCxnSpPr>
        <xdr:cNvPr id="3" name="直線コネクタ 2">
          <a:extLst>
            <a:ext uri="{FF2B5EF4-FFF2-40B4-BE49-F238E27FC236}">
              <a16:creationId xmlns:a16="http://schemas.microsoft.com/office/drawing/2014/main" id="{00000000-0008-0000-0000-000003000000}"/>
            </a:ext>
          </a:extLst>
        </xdr:cNvPr>
        <xdr:cNvCxnSpPr/>
      </xdr:nvCxnSpPr>
      <xdr:spPr>
        <a:xfrm flipH="1">
          <a:off x="2232422" y="756047"/>
          <a:ext cx="17859" cy="4893469"/>
        </a:xfrm>
        <a:prstGeom prst="line">
          <a:avLst/>
        </a:prstGeom>
        <a:ln w="114300">
          <a:solidFill>
            <a:srgbClr val="FFFFFF"/>
          </a:solidFill>
        </a:ln>
      </xdr:spPr>
      <xdr:style>
        <a:lnRef idx="3">
          <a:schemeClr val="accent3"/>
        </a:lnRef>
        <a:fillRef idx="0">
          <a:schemeClr val="accent3"/>
        </a:fillRef>
        <a:effectRef idx="2">
          <a:schemeClr val="accent3"/>
        </a:effectRef>
        <a:fontRef idx="minor">
          <a:schemeClr val="tx1"/>
        </a:fontRef>
      </xdr:style>
    </xdr:cxnSp>
    <xdr:clientData/>
  </xdr:twoCellAnchor>
  <xdr:twoCellAnchor>
    <xdr:from>
      <xdr:col>4</xdr:col>
      <xdr:colOff>1408508</xdr:colOff>
      <xdr:row>2</xdr:row>
      <xdr:rowOff>12508</xdr:rowOff>
    </xdr:from>
    <xdr:to>
      <xdr:col>5</xdr:col>
      <xdr:colOff>9524</xdr:colOff>
      <xdr:row>8</xdr:row>
      <xdr:rowOff>86924</xdr:rowOff>
    </xdr:to>
    <xdr:cxnSp macro="">
      <xdr:nvCxnSpPr>
        <xdr:cNvPr id="12" name="直線コネクタ 11">
          <a:extLst>
            <a:ext uri="{FF2B5EF4-FFF2-40B4-BE49-F238E27FC236}">
              <a16:creationId xmlns:a16="http://schemas.microsoft.com/office/drawing/2014/main" id="{00000000-0008-0000-0000-00000C000000}"/>
            </a:ext>
          </a:extLst>
        </xdr:cNvPr>
        <xdr:cNvCxnSpPr/>
      </xdr:nvCxnSpPr>
      <xdr:spPr>
        <a:xfrm flipH="1">
          <a:off x="5060751" y="765579"/>
          <a:ext cx="14882" cy="4890494"/>
        </a:xfrm>
        <a:prstGeom prst="line">
          <a:avLst/>
        </a:prstGeom>
        <a:ln w="114300">
          <a:solidFill>
            <a:srgbClr val="FFFFFF"/>
          </a:solidFill>
        </a:ln>
      </xdr:spPr>
      <xdr:style>
        <a:lnRef idx="3">
          <a:schemeClr val="accent3"/>
        </a:lnRef>
        <a:fillRef idx="0">
          <a:schemeClr val="accent3"/>
        </a:fillRef>
        <a:effectRef idx="2">
          <a:schemeClr val="accent3"/>
        </a:effectRef>
        <a:fontRef idx="minor">
          <a:schemeClr val="tx1"/>
        </a:fontRef>
      </xdr:style>
    </xdr:cxnSp>
    <xdr:clientData/>
  </xdr:twoCellAnchor>
  <xdr:twoCellAnchor>
    <xdr:from>
      <xdr:col>5</xdr:col>
      <xdr:colOff>1409104</xdr:colOff>
      <xdr:row>1</xdr:row>
      <xdr:rowOff>370284</xdr:rowOff>
    </xdr:from>
    <xdr:to>
      <xdr:col>6</xdr:col>
      <xdr:colOff>10119</xdr:colOff>
      <xdr:row>7</xdr:row>
      <xdr:rowOff>870347</xdr:rowOff>
    </xdr:to>
    <xdr:cxnSp macro="">
      <xdr:nvCxnSpPr>
        <xdr:cNvPr id="13" name="直線コネクタ 12">
          <a:extLst>
            <a:ext uri="{FF2B5EF4-FFF2-40B4-BE49-F238E27FC236}">
              <a16:creationId xmlns:a16="http://schemas.microsoft.com/office/drawing/2014/main" id="{00000000-0008-0000-0000-00000D000000}"/>
            </a:ext>
          </a:extLst>
        </xdr:cNvPr>
        <xdr:cNvCxnSpPr/>
      </xdr:nvCxnSpPr>
      <xdr:spPr>
        <a:xfrm flipH="1">
          <a:off x="6475213" y="661987"/>
          <a:ext cx="14883" cy="4890493"/>
        </a:xfrm>
        <a:prstGeom prst="line">
          <a:avLst/>
        </a:prstGeom>
        <a:ln w="114300">
          <a:solidFill>
            <a:srgbClr val="FFFFFF"/>
          </a:solidFill>
        </a:ln>
      </xdr:spPr>
      <xdr:style>
        <a:lnRef idx="3">
          <a:schemeClr val="accent3"/>
        </a:lnRef>
        <a:fillRef idx="0">
          <a:schemeClr val="accent3"/>
        </a:fillRef>
        <a:effectRef idx="2">
          <a:schemeClr val="accent3"/>
        </a:effectRef>
        <a:fontRef idx="minor">
          <a:schemeClr val="tx1"/>
        </a:fontRef>
      </xdr:style>
    </xdr:cxnSp>
    <xdr:clientData/>
  </xdr:twoCellAnchor>
  <xdr:twoCellAnchor>
    <xdr:from>
      <xdr:col>6</xdr:col>
      <xdr:colOff>1409700</xdr:colOff>
      <xdr:row>1</xdr:row>
      <xdr:rowOff>439340</xdr:rowOff>
    </xdr:from>
    <xdr:to>
      <xdr:col>7</xdr:col>
      <xdr:colOff>10715</xdr:colOff>
      <xdr:row>8</xdr:row>
      <xdr:rowOff>52388</xdr:rowOff>
    </xdr:to>
    <xdr:cxnSp macro="">
      <xdr:nvCxnSpPr>
        <xdr:cNvPr id="14" name="直線コネクタ 13">
          <a:extLst>
            <a:ext uri="{FF2B5EF4-FFF2-40B4-BE49-F238E27FC236}">
              <a16:creationId xmlns:a16="http://schemas.microsoft.com/office/drawing/2014/main" id="{00000000-0008-0000-0000-00000E000000}"/>
            </a:ext>
          </a:extLst>
        </xdr:cNvPr>
        <xdr:cNvCxnSpPr/>
      </xdr:nvCxnSpPr>
      <xdr:spPr>
        <a:xfrm flipH="1">
          <a:off x="7904560" y="731044"/>
          <a:ext cx="17859" cy="4893469"/>
        </a:xfrm>
        <a:prstGeom prst="line">
          <a:avLst/>
        </a:prstGeom>
        <a:ln w="114300">
          <a:solidFill>
            <a:srgbClr val="FFFFFF"/>
          </a:solidFill>
        </a:ln>
      </xdr:spPr>
      <xdr:style>
        <a:lnRef idx="3">
          <a:schemeClr val="accent3"/>
        </a:lnRef>
        <a:fillRef idx="0">
          <a:schemeClr val="accent3"/>
        </a:fillRef>
        <a:effectRef idx="2">
          <a:schemeClr val="accent3"/>
        </a:effectRef>
        <a:fontRef idx="minor">
          <a:schemeClr val="tx1"/>
        </a:fontRef>
      </xdr:style>
    </xdr:cxnSp>
    <xdr:clientData/>
  </xdr:twoCellAnchor>
  <xdr:twoCellAnchor>
    <xdr:from>
      <xdr:col>7</xdr:col>
      <xdr:colOff>1404341</xdr:colOff>
      <xdr:row>1</xdr:row>
      <xdr:rowOff>442911</xdr:rowOff>
    </xdr:from>
    <xdr:to>
      <xdr:col>8</xdr:col>
      <xdr:colOff>5356</xdr:colOff>
      <xdr:row>8</xdr:row>
      <xdr:rowOff>55959</xdr:rowOff>
    </xdr:to>
    <xdr:cxnSp macro="">
      <xdr:nvCxnSpPr>
        <xdr:cNvPr id="15" name="直線コネクタ 14">
          <a:extLst>
            <a:ext uri="{FF2B5EF4-FFF2-40B4-BE49-F238E27FC236}">
              <a16:creationId xmlns:a16="http://schemas.microsoft.com/office/drawing/2014/main" id="{00000000-0008-0000-0000-00000F000000}"/>
            </a:ext>
          </a:extLst>
        </xdr:cNvPr>
        <xdr:cNvCxnSpPr/>
      </xdr:nvCxnSpPr>
      <xdr:spPr>
        <a:xfrm flipH="1">
          <a:off x="9298185" y="734614"/>
          <a:ext cx="14882" cy="4890494"/>
        </a:xfrm>
        <a:prstGeom prst="line">
          <a:avLst/>
        </a:prstGeom>
        <a:ln w="114300">
          <a:solidFill>
            <a:srgbClr val="FFFFFF"/>
          </a:solidFill>
        </a:ln>
      </xdr:spPr>
      <xdr:style>
        <a:lnRef idx="3">
          <a:schemeClr val="accent3"/>
        </a:lnRef>
        <a:fillRef idx="0">
          <a:schemeClr val="accent3"/>
        </a:fillRef>
        <a:effectRef idx="2">
          <a:schemeClr val="accent3"/>
        </a:effectRef>
        <a:fontRef idx="minor">
          <a:schemeClr val="tx1"/>
        </a:fontRef>
      </xdr:style>
    </xdr:cxnSp>
    <xdr:clientData/>
  </xdr:twoCellAnchor>
  <xdr:twoCellAnchor>
    <xdr:from>
      <xdr:col>8</xdr:col>
      <xdr:colOff>1404937</xdr:colOff>
      <xdr:row>1</xdr:row>
      <xdr:rowOff>452445</xdr:rowOff>
    </xdr:from>
    <xdr:to>
      <xdr:col>9</xdr:col>
      <xdr:colOff>5953</xdr:colOff>
      <xdr:row>8</xdr:row>
      <xdr:rowOff>65493</xdr:rowOff>
    </xdr:to>
    <xdr:cxnSp macro="">
      <xdr:nvCxnSpPr>
        <xdr:cNvPr id="16" name="直線コネクタ 15">
          <a:extLst>
            <a:ext uri="{FF2B5EF4-FFF2-40B4-BE49-F238E27FC236}">
              <a16:creationId xmlns:a16="http://schemas.microsoft.com/office/drawing/2014/main" id="{00000000-0008-0000-0000-000010000000}"/>
            </a:ext>
          </a:extLst>
        </xdr:cNvPr>
        <xdr:cNvCxnSpPr/>
      </xdr:nvCxnSpPr>
      <xdr:spPr>
        <a:xfrm flipH="1">
          <a:off x="10733485" y="744149"/>
          <a:ext cx="17859" cy="4893469"/>
        </a:xfrm>
        <a:prstGeom prst="line">
          <a:avLst/>
        </a:prstGeom>
        <a:ln w="76200">
          <a:solidFill>
            <a:srgbClr val="FFFFFF"/>
          </a:solidFill>
        </a:ln>
      </xdr:spPr>
      <xdr:style>
        <a:lnRef idx="3">
          <a:schemeClr val="accent3"/>
        </a:lnRef>
        <a:fillRef idx="0">
          <a:schemeClr val="accent3"/>
        </a:fillRef>
        <a:effectRef idx="2">
          <a:schemeClr val="accent3"/>
        </a:effectRef>
        <a:fontRef idx="minor">
          <a:schemeClr val="tx1"/>
        </a:fontRef>
      </xdr:style>
    </xdr:cxnSp>
    <xdr:clientData/>
  </xdr:twoCellAnchor>
  <xdr:twoCellAnchor>
    <xdr:from>
      <xdr:col>1</xdr:col>
      <xdr:colOff>360760</xdr:colOff>
      <xdr:row>2</xdr:row>
      <xdr:rowOff>21430</xdr:rowOff>
    </xdr:from>
    <xdr:to>
      <xdr:col>2</xdr:col>
      <xdr:colOff>15478</xdr:colOff>
      <xdr:row>8</xdr:row>
      <xdr:rowOff>98822</xdr:rowOff>
    </xdr:to>
    <xdr:cxnSp macro="">
      <xdr:nvCxnSpPr>
        <xdr:cNvPr id="17" name="直線コネクタ 16">
          <a:extLst>
            <a:ext uri="{FF2B5EF4-FFF2-40B4-BE49-F238E27FC236}">
              <a16:creationId xmlns:a16="http://schemas.microsoft.com/office/drawing/2014/main" id="{00000000-0008-0000-0000-000011000000}"/>
            </a:ext>
          </a:extLst>
        </xdr:cNvPr>
        <xdr:cNvCxnSpPr/>
      </xdr:nvCxnSpPr>
      <xdr:spPr>
        <a:xfrm flipH="1">
          <a:off x="825104" y="777478"/>
          <a:ext cx="17859" cy="4893469"/>
        </a:xfrm>
        <a:prstGeom prst="line">
          <a:avLst/>
        </a:prstGeom>
        <a:ln w="76200">
          <a:solidFill>
            <a:srgbClr val="FFFFFF"/>
          </a:solidFill>
        </a:ln>
      </xdr:spPr>
      <xdr:style>
        <a:lnRef idx="3">
          <a:schemeClr val="accent3"/>
        </a:lnRef>
        <a:fillRef idx="0">
          <a:schemeClr val="accent3"/>
        </a:fillRef>
        <a:effectRef idx="2">
          <a:schemeClr val="accent3"/>
        </a:effectRef>
        <a:fontRef idx="minor">
          <a:schemeClr val="tx1"/>
        </a:fontRef>
      </xdr:style>
    </xdr:cxnSp>
    <xdr:clientData/>
  </xdr:twoCellAnchor>
  <xdr:twoCellAnchor>
    <xdr:from>
      <xdr:col>3</xdr:col>
      <xdr:colOff>1406126</xdr:colOff>
      <xdr:row>1</xdr:row>
      <xdr:rowOff>459580</xdr:rowOff>
    </xdr:from>
    <xdr:to>
      <xdr:col>4</xdr:col>
      <xdr:colOff>10117</xdr:colOff>
      <xdr:row>8</xdr:row>
      <xdr:rowOff>72628</xdr:rowOff>
    </xdr:to>
    <xdr:cxnSp macro="">
      <xdr:nvCxnSpPr>
        <xdr:cNvPr id="18" name="直線コネクタ 17">
          <a:extLst>
            <a:ext uri="{FF2B5EF4-FFF2-40B4-BE49-F238E27FC236}">
              <a16:creationId xmlns:a16="http://schemas.microsoft.com/office/drawing/2014/main" id="{00000000-0008-0000-0000-000012000000}"/>
            </a:ext>
          </a:extLst>
        </xdr:cNvPr>
        <xdr:cNvCxnSpPr/>
      </xdr:nvCxnSpPr>
      <xdr:spPr>
        <a:xfrm flipH="1">
          <a:off x="3644501" y="751283"/>
          <a:ext cx="17859" cy="4890494"/>
        </a:xfrm>
        <a:prstGeom prst="line">
          <a:avLst/>
        </a:prstGeom>
        <a:ln w="114300">
          <a:solidFill>
            <a:srgbClr val="FFFFFF"/>
          </a:solidFill>
        </a:ln>
      </xdr:spPr>
      <xdr:style>
        <a:lnRef idx="3">
          <a:schemeClr val="accent3"/>
        </a:lnRef>
        <a:fillRef idx="0">
          <a:schemeClr val="accent3"/>
        </a:fillRef>
        <a:effectRef idx="2">
          <a:schemeClr val="accent3"/>
        </a:effectRef>
        <a:fontRef idx="minor">
          <a:schemeClr val="tx1"/>
        </a:fontRef>
      </xdr:style>
    </xdr:cxnSp>
    <xdr:clientData/>
  </xdr:twoCellAnchor>
  <xdr:twoCellAnchor>
    <xdr:from>
      <xdr:col>0</xdr:col>
      <xdr:colOff>433390</xdr:colOff>
      <xdr:row>4</xdr:row>
      <xdr:rowOff>10716</xdr:rowOff>
    </xdr:from>
    <xdr:to>
      <xdr:col>9</xdr:col>
      <xdr:colOff>125015</xdr:colOff>
      <xdr:row>4</xdr:row>
      <xdr:rowOff>23812</xdr:rowOff>
    </xdr:to>
    <xdr:cxnSp macro="">
      <xdr:nvCxnSpPr>
        <xdr:cNvPr id="24" name="直線コネクタ 23">
          <a:extLst>
            <a:ext uri="{FF2B5EF4-FFF2-40B4-BE49-F238E27FC236}">
              <a16:creationId xmlns:a16="http://schemas.microsoft.com/office/drawing/2014/main" id="{00000000-0008-0000-0000-000018000000}"/>
            </a:ext>
          </a:extLst>
        </xdr:cNvPr>
        <xdr:cNvCxnSpPr/>
      </xdr:nvCxnSpPr>
      <xdr:spPr>
        <a:xfrm flipH="1" flipV="1">
          <a:off x="433390" y="2034779"/>
          <a:ext cx="10437016" cy="13096"/>
        </a:xfrm>
        <a:prstGeom prst="line">
          <a:avLst/>
        </a:prstGeom>
        <a:ln w="114300">
          <a:solidFill>
            <a:srgbClr val="FFFFFF"/>
          </a:solidFill>
        </a:ln>
      </xdr:spPr>
      <xdr:style>
        <a:lnRef idx="3">
          <a:schemeClr val="accent3"/>
        </a:lnRef>
        <a:fillRef idx="0">
          <a:schemeClr val="accent3"/>
        </a:fillRef>
        <a:effectRef idx="2">
          <a:schemeClr val="accent3"/>
        </a:effectRef>
        <a:fontRef idx="minor">
          <a:schemeClr val="tx1"/>
        </a:fontRef>
      </xdr:style>
    </xdr:cxnSp>
    <xdr:clientData/>
  </xdr:twoCellAnchor>
  <xdr:twoCellAnchor>
    <xdr:from>
      <xdr:col>1</xdr:col>
      <xdr:colOff>29172</xdr:colOff>
      <xdr:row>2</xdr:row>
      <xdr:rowOff>377428</xdr:rowOff>
    </xdr:from>
    <xdr:to>
      <xdr:col>9</xdr:col>
      <xdr:colOff>185141</xdr:colOff>
      <xdr:row>3</xdr:row>
      <xdr:rowOff>9524</xdr:rowOff>
    </xdr:to>
    <xdr:cxnSp macro="">
      <xdr:nvCxnSpPr>
        <xdr:cNvPr id="28" name="直線コネクタ 27">
          <a:extLst>
            <a:ext uri="{FF2B5EF4-FFF2-40B4-BE49-F238E27FC236}">
              <a16:creationId xmlns:a16="http://schemas.microsoft.com/office/drawing/2014/main" id="{00000000-0008-0000-0000-00001C000000}"/>
            </a:ext>
          </a:extLst>
        </xdr:cNvPr>
        <xdr:cNvCxnSpPr/>
      </xdr:nvCxnSpPr>
      <xdr:spPr>
        <a:xfrm flipH="1" flipV="1">
          <a:off x="490540" y="1130499"/>
          <a:ext cx="10416179" cy="13096"/>
        </a:xfrm>
        <a:prstGeom prst="line">
          <a:avLst/>
        </a:prstGeom>
        <a:ln w="114300">
          <a:solidFill>
            <a:srgbClr val="FFFFFF"/>
          </a:solidFill>
        </a:ln>
      </xdr:spPr>
      <xdr:style>
        <a:lnRef idx="3">
          <a:schemeClr val="accent3"/>
        </a:lnRef>
        <a:fillRef idx="0">
          <a:schemeClr val="accent3"/>
        </a:fillRef>
        <a:effectRef idx="2">
          <a:schemeClr val="accent3"/>
        </a:effectRef>
        <a:fontRef idx="minor">
          <a:schemeClr val="tx1"/>
        </a:fontRef>
      </xdr:style>
    </xdr:cxnSp>
    <xdr:clientData/>
  </xdr:twoCellAnchor>
  <xdr:twoCellAnchor>
    <xdr:from>
      <xdr:col>1</xdr:col>
      <xdr:colOff>17985</xdr:colOff>
      <xdr:row>4</xdr:row>
      <xdr:rowOff>10491</xdr:rowOff>
    </xdr:from>
    <xdr:to>
      <xdr:col>9</xdr:col>
      <xdr:colOff>3974</xdr:colOff>
      <xdr:row>4</xdr:row>
      <xdr:rowOff>21909</xdr:rowOff>
    </xdr:to>
    <xdr:cxnSp macro="">
      <xdr:nvCxnSpPr>
        <xdr:cNvPr id="45" name="直線コネクタ 44">
          <a:extLst>
            <a:ext uri="{FF2B5EF4-FFF2-40B4-BE49-F238E27FC236}">
              <a16:creationId xmlns:a16="http://schemas.microsoft.com/office/drawing/2014/main" id="{00000000-0008-0000-0000-00002D000000}"/>
            </a:ext>
          </a:extLst>
        </xdr:cNvPr>
        <xdr:cNvCxnSpPr/>
      </xdr:nvCxnSpPr>
      <xdr:spPr>
        <a:xfrm rot="5400000" flipH="1">
          <a:off x="5610138" y="-3093255"/>
          <a:ext cx="11418" cy="10267036"/>
        </a:xfrm>
        <a:prstGeom prst="line">
          <a:avLst/>
        </a:prstGeom>
        <a:ln w="19050">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458393</xdr:colOff>
      <xdr:row>5</xdr:row>
      <xdr:rowOff>11907</xdr:rowOff>
    </xdr:from>
    <xdr:to>
      <xdr:col>9</xdr:col>
      <xdr:colOff>150018</xdr:colOff>
      <xdr:row>5</xdr:row>
      <xdr:rowOff>25003</xdr:rowOff>
    </xdr:to>
    <xdr:cxnSp macro="">
      <xdr:nvCxnSpPr>
        <xdr:cNvPr id="29" name="直線コネクタ 28">
          <a:extLst>
            <a:ext uri="{FF2B5EF4-FFF2-40B4-BE49-F238E27FC236}">
              <a16:creationId xmlns:a16="http://schemas.microsoft.com/office/drawing/2014/main" id="{00000000-0008-0000-0000-00001D000000}"/>
            </a:ext>
          </a:extLst>
        </xdr:cNvPr>
        <xdr:cNvCxnSpPr/>
      </xdr:nvCxnSpPr>
      <xdr:spPr>
        <a:xfrm flipH="1" flipV="1">
          <a:off x="458393" y="2922986"/>
          <a:ext cx="10437016" cy="13096"/>
        </a:xfrm>
        <a:prstGeom prst="line">
          <a:avLst/>
        </a:prstGeom>
        <a:ln w="114300">
          <a:solidFill>
            <a:srgbClr val="FFFFFF"/>
          </a:solidFill>
        </a:ln>
      </xdr:spPr>
      <xdr:style>
        <a:lnRef idx="3">
          <a:schemeClr val="accent3"/>
        </a:lnRef>
        <a:fillRef idx="0">
          <a:schemeClr val="accent3"/>
        </a:fillRef>
        <a:effectRef idx="2">
          <a:schemeClr val="accent3"/>
        </a:effectRef>
        <a:fontRef idx="minor">
          <a:schemeClr val="tx1"/>
        </a:fontRef>
      </xdr:style>
    </xdr:cxnSp>
    <xdr:clientData/>
  </xdr:twoCellAnchor>
  <xdr:twoCellAnchor>
    <xdr:from>
      <xdr:col>1</xdr:col>
      <xdr:colOff>21433</xdr:colOff>
      <xdr:row>6</xdr:row>
      <xdr:rowOff>3574</xdr:rowOff>
    </xdr:from>
    <xdr:to>
      <xdr:col>9</xdr:col>
      <xdr:colOff>177402</xdr:colOff>
      <xdr:row>6</xdr:row>
      <xdr:rowOff>16670</xdr:rowOff>
    </xdr:to>
    <xdr:cxnSp macro="">
      <xdr:nvCxnSpPr>
        <xdr:cNvPr id="30" name="直線コネクタ 29">
          <a:extLst>
            <a:ext uri="{FF2B5EF4-FFF2-40B4-BE49-F238E27FC236}">
              <a16:creationId xmlns:a16="http://schemas.microsoft.com/office/drawing/2014/main" id="{00000000-0008-0000-0000-00001E000000}"/>
            </a:ext>
          </a:extLst>
        </xdr:cNvPr>
        <xdr:cNvCxnSpPr/>
      </xdr:nvCxnSpPr>
      <xdr:spPr>
        <a:xfrm flipH="1" flipV="1">
          <a:off x="485777" y="3801668"/>
          <a:ext cx="10437016" cy="13096"/>
        </a:xfrm>
        <a:prstGeom prst="line">
          <a:avLst/>
        </a:prstGeom>
        <a:ln w="114300">
          <a:solidFill>
            <a:srgbClr val="FFFFFF"/>
          </a:solidFill>
        </a:ln>
      </xdr:spPr>
      <xdr:style>
        <a:lnRef idx="3">
          <a:schemeClr val="accent3"/>
        </a:lnRef>
        <a:fillRef idx="0">
          <a:schemeClr val="accent3"/>
        </a:fillRef>
        <a:effectRef idx="2">
          <a:schemeClr val="accent3"/>
        </a:effectRef>
        <a:fontRef idx="minor">
          <a:schemeClr val="tx1"/>
        </a:fontRef>
      </xdr:style>
    </xdr:cxnSp>
    <xdr:clientData/>
  </xdr:twoCellAnchor>
  <xdr:twoCellAnchor>
    <xdr:from>
      <xdr:col>1</xdr:col>
      <xdr:colOff>13099</xdr:colOff>
      <xdr:row>7</xdr:row>
      <xdr:rowOff>7145</xdr:rowOff>
    </xdr:from>
    <xdr:to>
      <xdr:col>9</xdr:col>
      <xdr:colOff>169068</xdr:colOff>
      <xdr:row>7</xdr:row>
      <xdr:rowOff>20241</xdr:rowOff>
    </xdr:to>
    <xdr:cxnSp macro="">
      <xdr:nvCxnSpPr>
        <xdr:cNvPr id="31" name="直線コネクタ 30">
          <a:extLst>
            <a:ext uri="{FF2B5EF4-FFF2-40B4-BE49-F238E27FC236}">
              <a16:creationId xmlns:a16="http://schemas.microsoft.com/office/drawing/2014/main" id="{00000000-0008-0000-0000-00001F000000}"/>
            </a:ext>
          </a:extLst>
        </xdr:cNvPr>
        <xdr:cNvCxnSpPr/>
      </xdr:nvCxnSpPr>
      <xdr:spPr>
        <a:xfrm flipH="1" flipV="1">
          <a:off x="477443" y="4692255"/>
          <a:ext cx="10437016" cy="13096"/>
        </a:xfrm>
        <a:prstGeom prst="line">
          <a:avLst/>
        </a:prstGeom>
        <a:ln w="114300">
          <a:solidFill>
            <a:srgbClr val="FFFFFF"/>
          </a:solidFill>
        </a:ln>
      </xdr:spPr>
      <xdr:style>
        <a:lnRef idx="3">
          <a:schemeClr val="accent3"/>
        </a:lnRef>
        <a:fillRef idx="0">
          <a:schemeClr val="accent3"/>
        </a:fillRef>
        <a:effectRef idx="2">
          <a:schemeClr val="accent3"/>
        </a:effectRef>
        <a:fontRef idx="minor">
          <a:schemeClr val="tx1"/>
        </a:fontRef>
      </xdr:style>
    </xdr:cxnSp>
    <xdr:clientData/>
  </xdr:twoCellAnchor>
  <xdr:twoCellAnchor>
    <xdr:from>
      <xdr:col>0</xdr:col>
      <xdr:colOff>410766</xdr:colOff>
      <xdr:row>8</xdr:row>
      <xdr:rowOff>0</xdr:rowOff>
    </xdr:from>
    <xdr:to>
      <xdr:col>9</xdr:col>
      <xdr:colOff>102391</xdr:colOff>
      <xdr:row>8</xdr:row>
      <xdr:rowOff>13096</xdr:rowOff>
    </xdr:to>
    <xdr:cxnSp macro="">
      <xdr:nvCxnSpPr>
        <xdr:cNvPr id="32" name="直線コネクタ 31">
          <a:extLst>
            <a:ext uri="{FF2B5EF4-FFF2-40B4-BE49-F238E27FC236}">
              <a16:creationId xmlns:a16="http://schemas.microsoft.com/office/drawing/2014/main" id="{00000000-0008-0000-0000-000020000000}"/>
            </a:ext>
          </a:extLst>
        </xdr:cNvPr>
        <xdr:cNvCxnSpPr/>
      </xdr:nvCxnSpPr>
      <xdr:spPr>
        <a:xfrm flipH="1" flipV="1">
          <a:off x="410766" y="5572125"/>
          <a:ext cx="10437016" cy="13096"/>
        </a:xfrm>
        <a:prstGeom prst="line">
          <a:avLst/>
        </a:prstGeom>
        <a:ln w="114300">
          <a:solidFill>
            <a:srgbClr val="FFFFFF"/>
          </a:solidFill>
        </a:ln>
      </xdr:spPr>
      <xdr:style>
        <a:lnRef idx="3">
          <a:schemeClr val="accent3"/>
        </a:lnRef>
        <a:fillRef idx="0">
          <a:schemeClr val="accent3"/>
        </a:fillRef>
        <a:effectRef idx="2">
          <a:schemeClr val="accent3"/>
        </a:effectRef>
        <a:fontRef idx="minor">
          <a:schemeClr val="tx1"/>
        </a:fontRef>
      </xdr:style>
    </xdr:cxnSp>
    <xdr:clientData/>
  </xdr:twoCellAnchor>
  <xdr:twoCellAnchor>
    <xdr:from>
      <xdr:col>7</xdr:col>
      <xdr:colOff>1407911</xdr:colOff>
      <xdr:row>2</xdr:row>
      <xdr:rowOff>8925</xdr:rowOff>
    </xdr:from>
    <xdr:to>
      <xdr:col>8</xdr:col>
      <xdr:colOff>3569</xdr:colOff>
      <xdr:row>7</xdr:row>
      <xdr:rowOff>865698</xdr:rowOff>
    </xdr:to>
    <xdr:cxnSp macro="">
      <xdr:nvCxnSpPr>
        <xdr:cNvPr id="20" name="直線コネクタ 19">
          <a:extLst>
            <a:ext uri="{FF2B5EF4-FFF2-40B4-BE49-F238E27FC236}">
              <a16:creationId xmlns:a16="http://schemas.microsoft.com/office/drawing/2014/main" id="{00000000-0008-0000-0000-000014000000}"/>
            </a:ext>
          </a:extLst>
        </xdr:cNvPr>
        <xdr:cNvCxnSpPr/>
      </xdr:nvCxnSpPr>
      <xdr:spPr>
        <a:xfrm flipH="1">
          <a:off x="9319615" y="764973"/>
          <a:ext cx="12502" cy="4785835"/>
        </a:xfrm>
        <a:prstGeom prst="line">
          <a:avLst/>
        </a:prstGeom>
        <a:ln w="19050">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1409104</xdr:colOff>
      <xdr:row>1</xdr:row>
      <xdr:rowOff>460772</xdr:rowOff>
    </xdr:from>
    <xdr:to>
      <xdr:col>3</xdr:col>
      <xdr:colOff>4167</xdr:colOff>
      <xdr:row>8</xdr:row>
      <xdr:rowOff>2727</xdr:rowOff>
    </xdr:to>
    <xdr:cxnSp macro="">
      <xdr:nvCxnSpPr>
        <xdr:cNvPr id="37" name="直線コネクタ 36">
          <a:extLst>
            <a:ext uri="{FF2B5EF4-FFF2-40B4-BE49-F238E27FC236}">
              <a16:creationId xmlns:a16="http://schemas.microsoft.com/office/drawing/2014/main" id="{00000000-0008-0000-0000-000025000000}"/>
            </a:ext>
          </a:extLst>
        </xdr:cNvPr>
        <xdr:cNvCxnSpPr/>
      </xdr:nvCxnSpPr>
      <xdr:spPr>
        <a:xfrm flipH="1">
          <a:off x="2236048" y="750852"/>
          <a:ext cx="10824" cy="4824000"/>
        </a:xfrm>
        <a:prstGeom prst="line">
          <a:avLst/>
        </a:prstGeom>
        <a:ln w="19050">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1411483</xdr:colOff>
      <xdr:row>1</xdr:row>
      <xdr:rowOff>456009</xdr:rowOff>
    </xdr:from>
    <xdr:to>
      <xdr:col>4</xdr:col>
      <xdr:colOff>7140</xdr:colOff>
      <xdr:row>7</xdr:row>
      <xdr:rowOff>885521</xdr:rowOff>
    </xdr:to>
    <xdr:cxnSp macro="">
      <xdr:nvCxnSpPr>
        <xdr:cNvPr id="38" name="直線コネクタ 37">
          <a:extLst>
            <a:ext uri="{FF2B5EF4-FFF2-40B4-BE49-F238E27FC236}">
              <a16:creationId xmlns:a16="http://schemas.microsoft.com/office/drawing/2014/main" id="{00000000-0008-0000-0000-000026000000}"/>
            </a:ext>
          </a:extLst>
        </xdr:cNvPr>
        <xdr:cNvCxnSpPr/>
      </xdr:nvCxnSpPr>
      <xdr:spPr>
        <a:xfrm flipH="1">
          <a:off x="3654188" y="746089"/>
          <a:ext cx="11418" cy="4824000"/>
        </a:xfrm>
        <a:prstGeom prst="line">
          <a:avLst/>
        </a:prstGeom>
        <a:ln w="19050">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1410887</xdr:colOff>
      <xdr:row>2</xdr:row>
      <xdr:rowOff>28574</xdr:rowOff>
    </xdr:from>
    <xdr:to>
      <xdr:col>5</xdr:col>
      <xdr:colOff>6546</xdr:colOff>
      <xdr:row>7</xdr:row>
      <xdr:rowOff>884805</xdr:rowOff>
    </xdr:to>
    <xdr:cxnSp macro="">
      <xdr:nvCxnSpPr>
        <xdr:cNvPr id="39" name="直線コネクタ 38">
          <a:extLst>
            <a:ext uri="{FF2B5EF4-FFF2-40B4-BE49-F238E27FC236}">
              <a16:creationId xmlns:a16="http://schemas.microsoft.com/office/drawing/2014/main" id="{00000000-0008-0000-0000-000027000000}"/>
            </a:ext>
          </a:extLst>
        </xdr:cNvPr>
        <xdr:cNvCxnSpPr/>
      </xdr:nvCxnSpPr>
      <xdr:spPr>
        <a:xfrm flipH="1">
          <a:off x="5072060" y="784622"/>
          <a:ext cx="12502" cy="4785293"/>
        </a:xfrm>
        <a:prstGeom prst="line">
          <a:avLst/>
        </a:prstGeom>
        <a:ln w="19050">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1409698</xdr:colOff>
      <xdr:row>2</xdr:row>
      <xdr:rowOff>11906</xdr:rowOff>
    </xdr:from>
    <xdr:to>
      <xdr:col>6</xdr:col>
      <xdr:colOff>5355</xdr:colOff>
      <xdr:row>7</xdr:row>
      <xdr:rowOff>868679</xdr:rowOff>
    </xdr:to>
    <xdr:cxnSp macro="">
      <xdr:nvCxnSpPr>
        <xdr:cNvPr id="40" name="直線コネクタ 39">
          <a:extLst>
            <a:ext uri="{FF2B5EF4-FFF2-40B4-BE49-F238E27FC236}">
              <a16:creationId xmlns:a16="http://schemas.microsoft.com/office/drawing/2014/main" id="{00000000-0008-0000-0000-000028000000}"/>
            </a:ext>
          </a:extLst>
        </xdr:cNvPr>
        <xdr:cNvCxnSpPr/>
      </xdr:nvCxnSpPr>
      <xdr:spPr>
        <a:xfrm flipH="1">
          <a:off x="6483925" y="765247"/>
          <a:ext cx="11419" cy="4788000"/>
        </a:xfrm>
        <a:prstGeom prst="line">
          <a:avLst/>
        </a:prstGeom>
        <a:ln w="19050">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1406720</xdr:colOff>
      <xdr:row>2</xdr:row>
      <xdr:rowOff>19048</xdr:rowOff>
    </xdr:from>
    <xdr:to>
      <xdr:col>7</xdr:col>
      <xdr:colOff>2378</xdr:colOff>
      <xdr:row>7</xdr:row>
      <xdr:rowOff>875821</xdr:rowOff>
    </xdr:to>
    <xdr:cxnSp macro="">
      <xdr:nvCxnSpPr>
        <xdr:cNvPr id="41" name="直線コネクタ 40">
          <a:extLst>
            <a:ext uri="{FF2B5EF4-FFF2-40B4-BE49-F238E27FC236}">
              <a16:creationId xmlns:a16="http://schemas.microsoft.com/office/drawing/2014/main" id="{00000000-0008-0000-0000-000029000000}"/>
            </a:ext>
          </a:extLst>
        </xdr:cNvPr>
        <xdr:cNvCxnSpPr/>
      </xdr:nvCxnSpPr>
      <xdr:spPr>
        <a:xfrm flipH="1">
          <a:off x="7896709" y="772389"/>
          <a:ext cx="11419" cy="4788000"/>
        </a:xfrm>
        <a:prstGeom prst="line">
          <a:avLst/>
        </a:prstGeom>
        <a:ln w="19050">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1411483</xdr:colOff>
      <xdr:row>2</xdr:row>
      <xdr:rowOff>17262</xdr:rowOff>
    </xdr:from>
    <xdr:to>
      <xdr:col>9</xdr:col>
      <xdr:colOff>7141</xdr:colOff>
      <xdr:row>7</xdr:row>
      <xdr:rowOff>874035</xdr:rowOff>
    </xdr:to>
    <xdr:cxnSp macro="">
      <xdr:nvCxnSpPr>
        <xdr:cNvPr id="42" name="直線コネクタ 41">
          <a:extLst>
            <a:ext uri="{FF2B5EF4-FFF2-40B4-BE49-F238E27FC236}">
              <a16:creationId xmlns:a16="http://schemas.microsoft.com/office/drawing/2014/main" id="{00000000-0008-0000-0000-00002A000000}"/>
            </a:ext>
          </a:extLst>
        </xdr:cNvPr>
        <xdr:cNvCxnSpPr/>
      </xdr:nvCxnSpPr>
      <xdr:spPr>
        <a:xfrm flipH="1">
          <a:off x="10732995" y="770603"/>
          <a:ext cx="11419" cy="4788000"/>
        </a:xfrm>
        <a:prstGeom prst="line">
          <a:avLst/>
        </a:prstGeom>
        <a:ln w="19050">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352788</xdr:colOff>
      <xdr:row>1</xdr:row>
      <xdr:rowOff>451480</xdr:rowOff>
    </xdr:from>
    <xdr:to>
      <xdr:col>2</xdr:col>
      <xdr:colOff>2180</xdr:colOff>
      <xdr:row>7</xdr:row>
      <xdr:rowOff>880992</xdr:rowOff>
    </xdr:to>
    <xdr:cxnSp macro="">
      <xdr:nvCxnSpPr>
        <xdr:cNvPr id="43" name="直線コネクタ 42">
          <a:extLst>
            <a:ext uri="{FF2B5EF4-FFF2-40B4-BE49-F238E27FC236}">
              <a16:creationId xmlns:a16="http://schemas.microsoft.com/office/drawing/2014/main" id="{00000000-0008-0000-0000-00002B000000}"/>
            </a:ext>
          </a:extLst>
        </xdr:cNvPr>
        <xdr:cNvCxnSpPr/>
      </xdr:nvCxnSpPr>
      <xdr:spPr>
        <a:xfrm flipH="1">
          <a:off x="816050" y="741560"/>
          <a:ext cx="13074" cy="4824000"/>
        </a:xfrm>
        <a:prstGeom prst="line">
          <a:avLst/>
        </a:prstGeom>
        <a:ln w="19050">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19946</xdr:colOff>
      <xdr:row>2</xdr:row>
      <xdr:rowOff>373235</xdr:rowOff>
    </xdr:from>
    <xdr:to>
      <xdr:col>9</xdr:col>
      <xdr:colOff>5935</xdr:colOff>
      <xdr:row>3</xdr:row>
      <xdr:rowOff>3653</xdr:rowOff>
    </xdr:to>
    <xdr:cxnSp macro="">
      <xdr:nvCxnSpPr>
        <xdr:cNvPr id="44" name="直線コネクタ 43">
          <a:extLst>
            <a:ext uri="{FF2B5EF4-FFF2-40B4-BE49-F238E27FC236}">
              <a16:creationId xmlns:a16="http://schemas.microsoft.com/office/drawing/2014/main" id="{00000000-0008-0000-0000-00002C000000}"/>
            </a:ext>
          </a:extLst>
        </xdr:cNvPr>
        <xdr:cNvCxnSpPr/>
      </xdr:nvCxnSpPr>
      <xdr:spPr>
        <a:xfrm rot="5400000" flipH="1">
          <a:off x="5612099" y="-3998526"/>
          <a:ext cx="11418" cy="10267036"/>
        </a:xfrm>
        <a:prstGeom prst="line">
          <a:avLst/>
        </a:prstGeom>
        <a:ln w="19050">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455169</xdr:colOff>
      <xdr:row>5</xdr:row>
      <xdr:rowOff>11285</xdr:rowOff>
    </xdr:from>
    <xdr:to>
      <xdr:col>9</xdr:col>
      <xdr:colOff>13896</xdr:colOff>
      <xdr:row>5</xdr:row>
      <xdr:rowOff>22703</xdr:rowOff>
    </xdr:to>
    <xdr:cxnSp macro="">
      <xdr:nvCxnSpPr>
        <xdr:cNvPr id="46" name="直線コネクタ 45">
          <a:extLst>
            <a:ext uri="{FF2B5EF4-FFF2-40B4-BE49-F238E27FC236}">
              <a16:creationId xmlns:a16="http://schemas.microsoft.com/office/drawing/2014/main" id="{00000000-0008-0000-0000-00002E000000}"/>
            </a:ext>
          </a:extLst>
        </xdr:cNvPr>
        <xdr:cNvCxnSpPr/>
      </xdr:nvCxnSpPr>
      <xdr:spPr>
        <a:xfrm rot="5400000" flipH="1">
          <a:off x="5601519" y="-2223986"/>
          <a:ext cx="11418" cy="10304118"/>
        </a:xfrm>
        <a:prstGeom prst="line">
          <a:avLst/>
        </a:prstGeom>
        <a:ln w="19050">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15438</xdr:colOff>
      <xdr:row>6</xdr:row>
      <xdr:rowOff>4934</xdr:rowOff>
    </xdr:from>
    <xdr:to>
      <xdr:col>9</xdr:col>
      <xdr:colOff>1427</xdr:colOff>
      <xdr:row>6</xdr:row>
      <xdr:rowOff>16352</xdr:rowOff>
    </xdr:to>
    <xdr:cxnSp macro="">
      <xdr:nvCxnSpPr>
        <xdr:cNvPr id="47" name="直線コネクタ 46">
          <a:extLst>
            <a:ext uri="{FF2B5EF4-FFF2-40B4-BE49-F238E27FC236}">
              <a16:creationId xmlns:a16="http://schemas.microsoft.com/office/drawing/2014/main" id="{00000000-0008-0000-0000-00002F000000}"/>
            </a:ext>
          </a:extLst>
        </xdr:cNvPr>
        <xdr:cNvCxnSpPr/>
      </xdr:nvCxnSpPr>
      <xdr:spPr>
        <a:xfrm rot="5400000" flipH="1">
          <a:off x="5602991" y="-1322345"/>
          <a:ext cx="11418" cy="10260000"/>
        </a:xfrm>
        <a:prstGeom prst="line">
          <a:avLst/>
        </a:prstGeom>
        <a:ln w="19050">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444648</xdr:colOff>
      <xdr:row>7</xdr:row>
      <xdr:rowOff>9300</xdr:rowOff>
    </xdr:from>
    <xdr:to>
      <xdr:col>9</xdr:col>
      <xdr:colOff>3375</xdr:colOff>
      <xdr:row>7</xdr:row>
      <xdr:rowOff>20718</xdr:rowOff>
    </xdr:to>
    <xdr:cxnSp macro="">
      <xdr:nvCxnSpPr>
        <xdr:cNvPr id="48" name="直線コネクタ 47">
          <a:extLst>
            <a:ext uri="{FF2B5EF4-FFF2-40B4-BE49-F238E27FC236}">
              <a16:creationId xmlns:a16="http://schemas.microsoft.com/office/drawing/2014/main" id="{00000000-0008-0000-0000-000030000000}"/>
            </a:ext>
          </a:extLst>
        </xdr:cNvPr>
        <xdr:cNvCxnSpPr/>
      </xdr:nvCxnSpPr>
      <xdr:spPr>
        <a:xfrm rot="5400000" flipH="1">
          <a:off x="5590998" y="-451940"/>
          <a:ext cx="11418" cy="10304118"/>
        </a:xfrm>
        <a:prstGeom prst="line">
          <a:avLst/>
        </a:prstGeom>
        <a:ln w="19050">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2985</xdr:colOff>
      <xdr:row>7</xdr:row>
      <xdr:rowOff>876076</xdr:rowOff>
    </xdr:from>
    <xdr:to>
      <xdr:col>9</xdr:col>
      <xdr:colOff>0</xdr:colOff>
      <xdr:row>7</xdr:row>
      <xdr:rowOff>883227</xdr:rowOff>
    </xdr:to>
    <xdr:cxnSp macro="">
      <xdr:nvCxnSpPr>
        <xdr:cNvPr id="49" name="直線コネクタ 48">
          <a:extLst>
            <a:ext uri="{FF2B5EF4-FFF2-40B4-BE49-F238E27FC236}">
              <a16:creationId xmlns:a16="http://schemas.microsoft.com/office/drawing/2014/main" id="{00000000-0008-0000-0000-000031000000}"/>
            </a:ext>
          </a:extLst>
        </xdr:cNvPr>
        <xdr:cNvCxnSpPr/>
      </xdr:nvCxnSpPr>
      <xdr:spPr>
        <a:xfrm flipH="1" flipV="1">
          <a:off x="467329" y="5561186"/>
          <a:ext cx="10278062" cy="7151"/>
        </a:xfrm>
        <a:prstGeom prst="line">
          <a:avLst/>
        </a:prstGeom>
        <a:ln w="19050">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24264</xdr:colOff>
      <xdr:row>1</xdr:row>
      <xdr:rowOff>459588</xdr:rowOff>
    </xdr:from>
    <xdr:to>
      <xdr:col>9</xdr:col>
      <xdr:colOff>10253</xdr:colOff>
      <xdr:row>2</xdr:row>
      <xdr:rowOff>8363</xdr:rowOff>
    </xdr:to>
    <xdr:cxnSp macro="">
      <xdr:nvCxnSpPr>
        <xdr:cNvPr id="50" name="直線コネクタ 49">
          <a:extLst>
            <a:ext uri="{FF2B5EF4-FFF2-40B4-BE49-F238E27FC236}">
              <a16:creationId xmlns:a16="http://schemas.microsoft.com/office/drawing/2014/main" id="{00000000-0008-0000-0000-000032000000}"/>
            </a:ext>
          </a:extLst>
        </xdr:cNvPr>
        <xdr:cNvCxnSpPr/>
      </xdr:nvCxnSpPr>
      <xdr:spPr>
        <a:xfrm rot="5400000" flipH="1">
          <a:off x="5615566" y="-4375666"/>
          <a:ext cx="13119" cy="10267036"/>
        </a:xfrm>
        <a:prstGeom prst="line">
          <a:avLst/>
        </a:prstGeom>
        <a:ln w="19050">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459444</xdr:colOff>
      <xdr:row>1</xdr:row>
      <xdr:rowOff>459140</xdr:rowOff>
    </xdr:from>
    <xdr:to>
      <xdr:col>1</xdr:col>
      <xdr:colOff>6164</xdr:colOff>
      <xdr:row>8</xdr:row>
      <xdr:rowOff>1095</xdr:rowOff>
    </xdr:to>
    <xdr:cxnSp macro="">
      <xdr:nvCxnSpPr>
        <xdr:cNvPr id="51" name="直線コネクタ 50">
          <a:extLst>
            <a:ext uri="{FF2B5EF4-FFF2-40B4-BE49-F238E27FC236}">
              <a16:creationId xmlns:a16="http://schemas.microsoft.com/office/drawing/2014/main" id="{00000000-0008-0000-0000-000033000000}"/>
            </a:ext>
          </a:extLst>
        </xdr:cNvPr>
        <xdr:cNvCxnSpPr/>
      </xdr:nvCxnSpPr>
      <xdr:spPr>
        <a:xfrm flipH="1">
          <a:off x="459444" y="749220"/>
          <a:ext cx="9982" cy="4824000"/>
        </a:xfrm>
        <a:prstGeom prst="line">
          <a:avLst/>
        </a:prstGeom>
        <a:ln w="19050">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10</xdr:col>
      <xdr:colOff>0</xdr:colOff>
      <xdr:row>3</xdr:row>
      <xdr:rowOff>0</xdr:rowOff>
    </xdr:from>
    <xdr:to>
      <xdr:col>11</xdr:col>
      <xdr:colOff>1543050</xdr:colOff>
      <xdr:row>5</xdr:row>
      <xdr:rowOff>222250</xdr:rowOff>
    </xdr:to>
    <xdr:pic>
      <xdr:nvPicPr>
        <xdr:cNvPr id="2749" name="Picture 701">
          <a:extLst>
            <a:ext uri="{FF2B5EF4-FFF2-40B4-BE49-F238E27FC236}">
              <a16:creationId xmlns:a16="http://schemas.microsoft.com/office/drawing/2014/main" id="{6D27F060-5157-43A2-82D8-061E8BBF6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176000" y="1123950"/>
          <a:ext cx="3105150" cy="2000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1550194</xdr:colOff>
      <xdr:row>1</xdr:row>
      <xdr:rowOff>199549</xdr:rowOff>
    </xdr:from>
    <xdr:to>
      <xdr:col>2</xdr:col>
      <xdr:colOff>0</xdr:colOff>
      <xdr:row>1</xdr:row>
      <xdr:rowOff>1696165</xdr:rowOff>
    </xdr:to>
    <xdr:sp macro="" textlink="">
      <xdr:nvSpPr>
        <xdr:cNvPr id="317" name="テキスト ボックス 316">
          <a:extLst>
            <a:ext uri="{FF2B5EF4-FFF2-40B4-BE49-F238E27FC236}">
              <a16:creationId xmlns:a16="http://schemas.microsoft.com/office/drawing/2014/main" id="{00000000-0008-0000-0100-00003D010000}"/>
            </a:ext>
          </a:extLst>
        </xdr:cNvPr>
        <xdr:cNvSpPr txBox="1"/>
      </xdr:nvSpPr>
      <xdr:spPr>
        <a:xfrm>
          <a:off x="2235994" y="2495074"/>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中文学科
</a:t>
          </a:r>
          <a:r>
            <a:rPr kumimoji="1" lang="en-US" altLang="ja-JP" sz="1800">
              <a:latin typeface="源ノ角ゴシック JP" panose="020B0500000000000000" pitchFamily="34" charset="-128"/>
            </a:rPr>
            <a:t>M2
</a:t>
          </a:r>
          <a:r>
            <a:rPr kumimoji="1" lang="ja-JP" altLang="en-US" sz="1800">
              <a:latin typeface="源ノ角ゴシック JP" panose="020B0500000000000000" pitchFamily="34" charset="-128"/>
            </a:rPr>
            <a:t>おさかべさん</a:t>
          </a:r>
        </a:p>
      </xdr:txBody>
    </xdr:sp>
    <xdr:clientData/>
  </xdr:twoCellAnchor>
  <xdr:twoCellAnchor>
    <xdr:from>
      <xdr:col>1</xdr:col>
      <xdr:colOff>0</xdr:colOff>
      <xdr:row>1</xdr:row>
      <xdr:rowOff>1496616</xdr:rowOff>
    </xdr:from>
    <xdr:to>
      <xdr:col>2</xdr:col>
      <xdr:colOff>0</xdr:colOff>
      <xdr:row>2</xdr:row>
      <xdr:rowOff>0</xdr:rowOff>
    </xdr:to>
    <xdr:sp macro="" textlink="">
      <xdr:nvSpPr>
        <xdr:cNvPr id="318" name="テキスト ボックス 317">
          <a:extLst>
            <a:ext uri="{FF2B5EF4-FFF2-40B4-BE49-F238E27FC236}">
              <a16:creationId xmlns:a16="http://schemas.microsoft.com/office/drawing/2014/main" id="{00000000-0008-0000-0100-00003E010000}"/>
            </a:ext>
          </a:extLst>
        </xdr:cNvPr>
        <xdr:cNvSpPr txBox="1"/>
      </xdr:nvSpPr>
      <xdr:spPr>
        <a:xfrm>
          <a:off x="685800" y="3792141"/>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なんかすごい</a:t>
          </a:r>
        </a:p>
      </xdr:txBody>
    </xdr:sp>
    <xdr:clientData/>
  </xdr:twoCellAnchor>
  <xdr:twoCellAnchor editAs="oneCell">
    <xdr:from>
      <xdr:col>1</xdr:col>
      <xdr:colOff>137161</xdr:colOff>
      <xdr:row>1</xdr:row>
      <xdr:rowOff>199549</xdr:rowOff>
    </xdr:from>
    <xdr:to>
      <xdr:col>1</xdr:col>
      <xdr:colOff>1377316</xdr:colOff>
      <xdr:row>1</xdr:row>
      <xdr:rowOff>1439704</xdr:rowOff>
    </xdr:to>
    <xdr:pic>
      <xdr:nvPicPr>
        <xdr:cNvPr id="320" name="図 319">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link="rId1"/>
        <a:srcRect l="23750" r="23750"/>
        <a:stretch>
          <a:fillRect/>
        </a:stretch>
      </xdr:blipFill>
      <xdr:spPr>
        <a:xfrm>
          <a:off x="822961" y="2495074"/>
          <a:ext cx="1240155" cy="1240155"/>
        </a:xfrm>
        <a:prstGeom prst="ellipse">
          <a:avLst/>
        </a:prstGeom>
      </xdr:spPr>
    </xdr:pic>
    <xdr:clientData/>
  </xdr:twoCellAnchor>
  <xdr:twoCellAnchor>
    <xdr:from>
      <xdr:col>1</xdr:col>
      <xdr:colOff>1550194</xdr:colOff>
      <xdr:row>2</xdr:row>
      <xdr:rowOff>199548</xdr:rowOff>
    </xdr:from>
    <xdr:to>
      <xdr:col>2</xdr:col>
      <xdr:colOff>0</xdr:colOff>
      <xdr:row>2</xdr:row>
      <xdr:rowOff>1696164</xdr:rowOff>
    </xdr:to>
    <xdr:sp macro="" textlink="">
      <xdr:nvSpPr>
        <xdr:cNvPr id="321" name="テキスト ボックス 320">
          <a:extLst>
            <a:ext uri="{FF2B5EF4-FFF2-40B4-BE49-F238E27FC236}">
              <a16:creationId xmlns:a16="http://schemas.microsoft.com/office/drawing/2014/main" id="{00000000-0008-0000-0100-000041010000}"/>
            </a:ext>
          </a:extLst>
        </xdr:cNvPr>
        <xdr:cNvSpPr txBox="1"/>
      </xdr:nvSpPr>
      <xdr:spPr>
        <a:xfrm>
          <a:off x="2235994" y="4490561"/>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史学科
</a:t>
          </a:r>
          <a:r>
            <a:rPr kumimoji="1" lang="en-US" altLang="ja-JP" sz="1800">
              <a:latin typeface="源ノ角ゴシック JP" panose="020B0500000000000000" pitchFamily="34" charset="-128"/>
            </a:rPr>
            <a:t>M2
</a:t>
          </a:r>
          <a:r>
            <a:rPr kumimoji="1" lang="ja-JP" altLang="en-US" sz="1800">
              <a:latin typeface="源ノ角ゴシック JP" panose="020B0500000000000000" pitchFamily="34" charset="-128"/>
            </a:rPr>
            <a:t>ひろせさん</a:t>
          </a:r>
        </a:p>
      </xdr:txBody>
    </xdr:sp>
    <xdr:clientData/>
  </xdr:twoCellAnchor>
  <xdr:twoCellAnchor>
    <xdr:from>
      <xdr:col>1</xdr:col>
      <xdr:colOff>0</xdr:colOff>
      <xdr:row>2</xdr:row>
      <xdr:rowOff>1496615</xdr:rowOff>
    </xdr:from>
    <xdr:to>
      <xdr:col>2</xdr:col>
      <xdr:colOff>0</xdr:colOff>
      <xdr:row>3</xdr:row>
      <xdr:rowOff>0</xdr:rowOff>
    </xdr:to>
    <xdr:sp macro="" textlink="">
      <xdr:nvSpPr>
        <xdr:cNvPr id="322" name="テキスト ボックス 321">
          <a:extLst>
            <a:ext uri="{FF2B5EF4-FFF2-40B4-BE49-F238E27FC236}">
              <a16:creationId xmlns:a16="http://schemas.microsoft.com/office/drawing/2014/main" id="{00000000-0008-0000-0100-000042010000}"/>
            </a:ext>
          </a:extLst>
        </xdr:cNvPr>
        <xdr:cNvSpPr txBox="1"/>
      </xdr:nvSpPr>
      <xdr:spPr>
        <a:xfrm>
          <a:off x="685800" y="5787628"/>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やさしい</a:t>
          </a:r>
        </a:p>
      </xdr:txBody>
    </xdr:sp>
    <xdr:clientData/>
  </xdr:twoCellAnchor>
  <xdr:twoCellAnchor editAs="oneCell">
    <xdr:from>
      <xdr:col>1</xdr:col>
      <xdr:colOff>137160</xdr:colOff>
      <xdr:row>2</xdr:row>
      <xdr:rowOff>199548</xdr:rowOff>
    </xdr:from>
    <xdr:to>
      <xdr:col>1</xdr:col>
      <xdr:colOff>1377315</xdr:colOff>
      <xdr:row>2</xdr:row>
      <xdr:rowOff>1439703</xdr:rowOff>
    </xdr:to>
    <xdr:pic>
      <xdr:nvPicPr>
        <xdr:cNvPr id="324" name="図 323">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link="rId2"/>
        <a:srcRect l="12553" r="12553"/>
        <a:stretch>
          <a:fillRect/>
        </a:stretch>
      </xdr:blipFill>
      <xdr:spPr>
        <a:xfrm>
          <a:off x="822960" y="4490561"/>
          <a:ext cx="1240155" cy="1240155"/>
        </a:xfrm>
        <a:prstGeom prst="ellipse">
          <a:avLst/>
        </a:prstGeom>
      </xdr:spPr>
    </xdr:pic>
    <xdr:clientData/>
  </xdr:twoCellAnchor>
  <xdr:twoCellAnchor>
    <xdr:from>
      <xdr:col>1</xdr:col>
      <xdr:colOff>1550194</xdr:colOff>
      <xdr:row>3</xdr:row>
      <xdr:rowOff>199549</xdr:rowOff>
    </xdr:from>
    <xdr:to>
      <xdr:col>2</xdr:col>
      <xdr:colOff>0</xdr:colOff>
      <xdr:row>3</xdr:row>
      <xdr:rowOff>1696165</xdr:rowOff>
    </xdr:to>
    <xdr:sp macro="" textlink="">
      <xdr:nvSpPr>
        <xdr:cNvPr id="325" name="テキスト ボックス 324">
          <a:extLst>
            <a:ext uri="{FF2B5EF4-FFF2-40B4-BE49-F238E27FC236}">
              <a16:creationId xmlns:a16="http://schemas.microsoft.com/office/drawing/2014/main" id="{00000000-0008-0000-0100-000045010000}"/>
            </a:ext>
          </a:extLst>
        </xdr:cNvPr>
        <xdr:cNvSpPr txBox="1"/>
      </xdr:nvSpPr>
      <xdr:spPr>
        <a:xfrm>
          <a:off x="2235994" y="6486049"/>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教育
</a:t>
          </a:r>
          <a:r>
            <a:rPr kumimoji="1" lang="en-US" altLang="ja-JP" sz="1800">
              <a:latin typeface="源ノ角ゴシック JP" panose="020B0500000000000000" pitchFamily="34" charset="-128"/>
            </a:rPr>
            <a:t>D1
</a:t>
          </a:r>
          <a:r>
            <a:rPr kumimoji="1" lang="ja-JP" altLang="en-US" sz="1800">
              <a:latin typeface="源ノ角ゴシック JP" panose="020B0500000000000000" pitchFamily="34" charset="-128"/>
            </a:rPr>
            <a:t>かとーさん</a:t>
          </a:r>
        </a:p>
      </xdr:txBody>
    </xdr:sp>
    <xdr:clientData/>
  </xdr:twoCellAnchor>
  <xdr:twoCellAnchor>
    <xdr:from>
      <xdr:col>1</xdr:col>
      <xdr:colOff>0</xdr:colOff>
      <xdr:row>3</xdr:row>
      <xdr:rowOff>1496616</xdr:rowOff>
    </xdr:from>
    <xdr:to>
      <xdr:col>2</xdr:col>
      <xdr:colOff>0</xdr:colOff>
      <xdr:row>4</xdr:row>
      <xdr:rowOff>0</xdr:rowOff>
    </xdr:to>
    <xdr:sp macro="" textlink="">
      <xdr:nvSpPr>
        <xdr:cNvPr id="326" name="テキスト ボックス 325">
          <a:extLst>
            <a:ext uri="{FF2B5EF4-FFF2-40B4-BE49-F238E27FC236}">
              <a16:creationId xmlns:a16="http://schemas.microsoft.com/office/drawing/2014/main" id="{00000000-0008-0000-0100-000046010000}"/>
            </a:ext>
          </a:extLst>
        </xdr:cNvPr>
        <xdr:cNvSpPr txBox="1"/>
      </xdr:nvSpPr>
      <xdr:spPr>
        <a:xfrm>
          <a:off x="685800" y="7783116"/>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おもしろいよくしゃべる</a:t>
          </a:r>
        </a:p>
      </xdr:txBody>
    </xdr:sp>
    <xdr:clientData/>
  </xdr:twoCellAnchor>
  <xdr:twoCellAnchor editAs="oneCell">
    <xdr:from>
      <xdr:col>1</xdr:col>
      <xdr:colOff>137161</xdr:colOff>
      <xdr:row>3</xdr:row>
      <xdr:rowOff>199550</xdr:rowOff>
    </xdr:from>
    <xdr:to>
      <xdr:col>1</xdr:col>
      <xdr:colOff>1377316</xdr:colOff>
      <xdr:row>3</xdr:row>
      <xdr:rowOff>1439705</xdr:rowOff>
    </xdr:to>
    <xdr:pic>
      <xdr:nvPicPr>
        <xdr:cNvPr id="328" name="図 327">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link="rId3"/>
        <a:srcRect l="12500" r="12500"/>
        <a:stretch>
          <a:fillRect/>
        </a:stretch>
      </xdr:blipFill>
      <xdr:spPr>
        <a:xfrm>
          <a:off x="822961" y="6486050"/>
          <a:ext cx="1240155" cy="1240155"/>
        </a:xfrm>
        <a:prstGeom prst="ellipse">
          <a:avLst/>
        </a:prstGeom>
      </xdr:spPr>
    </xdr:pic>
    <xdr:clientData/>
  </xdr:twoCellAnchor>
  <xdr:twoCellAnchor>
    <xdr:from>
      <xdr:col>1</xdr:col>
      <xdr:colOff>1550194</xdr:colOff>
      <xdr:row>4</xdr:row>
      <xdr:rowOff>199549</xdr:rowOff>
    </xdr:from>
    <xdr:to>
      <xdr:col>2</xdr:col>
      <xdr:colOff>0</xdr:colOff>
      <xdr:row>4</xdr:row>
      <xdr:rowOff>1696165</xdr:rowOff>
    </xdr:to>
    <xdr:sp macro="" textlink="">
      <xdr:nvSpPr>
        <xdr:cNvPr id="329" name="テキスト ボックス 328">
          <a:extLst>
            <a:ext uri="{FF2B5EF4-FFF2-40B4-BE49-F238E27FC236}">
              <a16:creationId xmlns:a16="http://schemas.microsoft.com/office/drawing/2014/main" id="{00000000-0008-0000-0100-000049010000}"/>
            </a:ext>
          </a:extLst>
        </xdr:cNvPr>
        <xdr:cNvSpPr txBox="1"/>
      </xdr:nvSpPr>
      <xdr:spPr>
        <a:xfrm>
          <a:off x="2235994" y="8481537"/>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哲学科
</a:t>
          </a:r>
          <a:r>
            <a:rPr kumimoji="1" lang="en-US" altLang="ja-JP" sz="1800">
              <a:latin typeface="源ノ角ゴシック JP" panose="020B0500000000000000" pitchFamily="34" charset="-128"/>
            </a:rPr>
            <a:t>M2
</a:t>
          </a:r>
          <a:r>
            <a:rPr kumimoji="1" lang="ja-JP" altLang="en-US" sz="1800">
              <a:latin typeface="源ノ角ゴシック JP" panose="020B0500000000000000" pitchFamily="34" charset="-128"/>
            </a:rPr>
            <a:t>ふくいさん</a:t>
          </a:r>
        </a:p>
      </xdr:txBody>
    </xdr:sp>
    <xdr:clientData/>
  </xdr:twoCellAnchor>
  <xdr:twoCellAnchor>
    <xdr:from>
      <xdr:col>1</xdr:col>
      <xdr:colOff>0</xdr:colOff>
      <xdr:row>4</xdr:row>
      <xdr:rowOff>1496615</xdr:rowOff>
    </xdr:from>
    <xdr:to>
      <xdr:col>2</xdr:col>
      <xdr:colOff>0</xdr:colOff>
      <xdr:row>5</xdr:row>
      <xdr:rowOff>0</xdr:rowOff>
    </xdr:to>
    <xdr:sp macro="" textlink="">
      <xdr:nvSpPr>
        <xdr:cNvPr id="330" name="テキスト ボックス 329">
          <a:extLst>
            <a:ext uri="{FF2B5EF4-FFF2-40B4-BE49-F238E27FC236}">
              <a16:creationId xmlns:a16="http://schemas.microsoft.com/office/drawing/2014/main" id="{00000000-0008-0000-0100-00004A010000}"/>
            </a:ext>
          </a:extLst>
        </xdr:cNvPr>
        <xdr:cNvSpPr txBox="1"/>
      </xdr:nvSpPr>
      <xdr:spPr>
        <a:xfrm>
          <a:off x="685800" y="9778603"/>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みすたーパーフェクト</a:t>
          </a:r>
        </a:p>
      </xdr:txBody>
    </xdr:sp>
    <xdr:clientData/>
  </xdr:twoCellAnchor>
  <xdr:twoCellAnchor editAs="oneCell">
    <xdr:from>
      <xdr:col>1</xdr:col>
      <xdr:colOff>137161</xdr:colOff>
      <xdr:row>4</xdr:row>
      <xdr:rowOff>199549</xdr:rowOff>
    </xdr:from>
    <xdr:to>
      <xdr:col>1</xdr:col>
      <xdr:colOff>1377316</xdr:colOff>
      <xdr:row>4</xdr:row>
      <xdr:rowOff>1439704</xdr:rowOff>
    </xdr:to>
    <xdr:pic>
      <xdr:nvPicPr>
        <xdr:cNvPr id="332" name="図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link="rId1"/>
        <a:srcRect l="23750" r="23750"/>
        <a:stretch>
          <a:fillRect/>
        </a:stretch>
      </xdr:blipFill>
      <xdr:spPr>
        <a:xfrm>
          <a:off x="822961" y="8481537"/>
          <a:ext cx="1240155" cy="1240155"/>
        </a:xfrm>
        <a:prstGeom prst="ellipse">
          <a:avLst/>
        </a:prstGeom>
      </xdr:spPr>
    </xdr:pic>
    <xdr:clientData/>
  </xdr:twoCellAnchor>
  <xdr:twoCellAnchor>
    <xdr:from>
      <xdr:col>1</xdr:col>
      <xdr:colOff>1550194</xdr:colOff>
      <xdr:row>5</xdr:row>
      <xdr:rowOff>199549</xdr:rowOff>
    </xdr:from>
    <xdr:to>
      <xdr:col>2</xdr:col>
      <xdr:colOff>0</xdr:colOff>
      <xdr:row>5</xdr:row>
      <xdr:rowOff>1696165</xdr:rowOff>
    </xdr:to>
    <xdr:sp macro="" textlink="">
      <xdr:nvSpPr>
        <xdr:cNvPr id="333" name="テキスト ボックス 332">
          <a:extLst>
            <a:ext uri="{FF2B5EF4-FFF2-40B4-BE49-F238E27FC236}">
              <a16:creationId xmlns:a16="http://schemas.microsoft.com/office/drawing/2014/main" id="{00000000-0008-0000-0100-00004D010000}"/>
            </a:ext>
          </a:extLst>
        </xdr:cNvPr>
        <xdr:cNvSpPr txBox="1"/>
      </xdr:nvSpPr>
      <xdr:spPr>
        <a:xfrm>
          <a:off x="2235994" y="10477024"/>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哲学か
</a:t>
          </a:r>
          <a:r>
            <a:rPr kumimoji="1" lang="en-US" altLang="ja-JP" sz="1800">
              <a:latin typeface="源ノ角ゴシック JP" panose="020B0500000000000000" pitchFamily="34" charset="-128"/>
            </a:rPr>
            <a:t>M2
</a:t>
          </a:r>
          <a:r>
            <a:rPr kumimoji="1" lang="ja-JP" altLang="en-US" sz="1800">
              <a:latin typeface="源ノ角ゴシック JP" panose="020B0500000000000000" pitchFamily="34" charset="-128"/>
            </a:rPr>
            <a:t>みぞぐちさん</a:t>
          </a:r>
        </a:p>
      </xdr:txBody>
    </xdr:sp>
    <xdr:clientData/>
  </xdr:twoCellAnchor>
  <xdr:twoCellAnchor>
    <xdr:from>
      <xdr:col>1</xdr:col>
      <xdr:colOff>0</xdr:colOff>
      <xdr:row>5</xdr:row>
      <xdr:rowOff>1496616</xdr:rowOff>
    </xdr:from>
    <xdr:to>
      <xdr:col>2</xdr:col>
      <xdr:colOff>0</xdr:colOff>
      <xdr:row>6</xdr:row>
      <xdr:rowOff>0</xdr:rowOff>
    </xdr:to>
    <xdr:sp macro="" textlink="">
      <xdr:nvSpPr>
        <xdr:cNvPr id="334" name="テキスト ボックス 333">
          <a:extLst>
            <a:ext uri="{FF2B5EF4-FFF2-40B4-BE49-F238E27FC236}">
              <a16:creationId xmlns:a16="http://schemas.microsoft.com/office/drawing/2014/main" id="{00000000-0008-0000-0100-00004E010000}"/>
            </a:ext>
          </a:extLst>
        </xdr:cNvPr>
        <xdr:cNvSpPr txBox="1"/>
      </xdr:nvSpPr>
      <xdr:spPr>
        <a:xfrm>
          <a:off x="685800" y="11774091"/>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おもしろい</a:t>
          </a:r>
        </a:p>
      </xdr:txBody>
    </xdr:sp>
    <xdr:clientData/>
  </xdr:twoCellAnchor>
  <xdr:twoCellAnchor editAs="oneCell">
    <xdr:from>
      <xdr:col>1</xdr:col>
      <xdr:colOff>137160</xdr:colOff>
      <xdr:row>5</xdr:row>
      <xdr:rowOff>199549</xdr:rowOff>
    </xdr:from>
    <xdr:to>
      <xdr:col>1</xdr:col>
      <xdr:colOff>1377315</xdr:colOff>
      <xdr:row>5</xdr:row>
      <xdr:rowOff>1439704</xdr:rowOff>
    </xdr:to>
    <xdr:pic>
      <xdr:nvPicPr>
        <xdr:cNvPr id="336" name="図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link="rId2"/>
        <a:srcRect l="12553" r="12553"/>
        <a:stretch>
          <a:fillRect/>
        </a:stretch>
      </xdr:blipFill>
      <xdr:spPr>
        <a:xfrm>
          <a:off x="822960" y="10477024"/>
          <a:ext cx="1240155" cy="1240155"/>
        </a:xfrm>
        <a:prstGeom prst="ellipse">
          <a:avLst/>
        </a:prstGeom>
      </xdr:spPr>
    </xdr:pic>
    <xdr:clientData/>
  </xdr:twoCellAnchor>
  <xdr:twoCellAnchor>
    <xdr:from>
      <xdr:col>1</xdr:col>
      <xdr:colOff>1550194</xdr:colOff>
      <xdr:row>6</xdr:row>
      <xdr:rowOff>199549</xdr:rowOff>
    </xdr:from>
    <xdr:to>
      <xdr:col>2</xdr:col>
      <xdr:colOff>0</xdr:colOff>
      <xdr:row>6</xdr:row>
      <xdr:rowOff>1696165</xdr:rowOff>
    </xdr:to>
    <xdr:sp macro="" textlink="">
      <xdr:nvSpPr>
        <xdr:cNvPr id="337" name="テキスト ボックス 336">
          <a:extLst>
            <a:ext uri="{FF2B5EF4-FFF2-40B4-BE49-F238E27FC236}">
              <a16:creationId xmlns:a16="http://schemas.microsoft.com/office/drawing/2014/main" id="{00000000-0008-0000-0100-000051010000}"/>
            </a:ext>
          </a:extLst>
        </xdr:cNvPr>
        <xdr:cNvSpPr txBox="1"/>
      </xdr:nvSpPr>
      <xdr:spPr>
        <a:xfrm>
          <a:off x="2235994" y="12472512"/>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史学科？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しおたさん</a:t>
          </a:r>
        </a:p>
      </xdr:txBody>
    </xdr:sp>
    <xdr:clientData/>
  </xdr:twoCellAnchor>
  <xdr:twoCellAnchor>
    <xdr:from>
      <xdr:col>1</xdr:col>
      <xdr:colOff>0</xdr:colOff>
      <xdr:row>6</xdr:row>
      <xdr:rowOff>1496615</xdr:rowOff>
    </xdr:from>
    <xdr:to>
      <xdr:col>2</xdr:col>
      <xdr:colOff>0</xdr:colOff>
      <xdr:row>7</xdr:row>
      <xdr:rowOff>0</xdr:rowOff>
    </xdr:to>
    <xdr:sp macro="" textlink="">
      <xdr:nvSpPr>
        <xdr:cNvPr id="338" name="テキスト ボックス 337">
          <a:extLst>
            <a:ext uri="{FF2B5EF4-FFF2-40B4-BE49-F238E27FC236}">
              <a16:creationId xmlns:a16="http://schemas.microsoft.com/office/drawing/2014/main" id="{00000000-0008-0000-0100-000052010000}"/>
            </a:ext>
          </a:extLst>
        </xdr:cNvPr>
        <xdr:cNvSpPr txBox="1"/>
      </xdr:nvSpPr>
      <xdr:spPr>
        <a:xfrm>
          <a:off x="685800" y="13769578"/>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バイク通学</a:t>
          </a:r>
        </a:p>
      </xdr:txBody>
    </xdr:sp>
    <xdr:clientData/>
  </xdr:twoCellAnchor>
  <xdr:twoCellAnchor editAs="oneCell">
    <xdr:from>
      <xdr:col>1</xdr:col>
      <xdr:colOff>137161</xdr:colOff>
      <xdr:row>6</xdr:row>
      <xdr:rowOff>199549</xdr:rowOff>
    </xdr:from>
    <xdr:to>
      <xdr:col>1</xdr:col>
      <xdr:colOff>1377316</xdr:colOff>
      <xdr:row>6</xdr:row>
      <xdr:rowOff>1439704</xdr:rowOff>
    </xdr:to>
    <xdr:pic>
      <xdr:nvPicPr>
        <xdr:cNvPr id="340" name="図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link="rId1"/>
        <a:srcRect l="23750" r="23750"/>
        <a:stretch>
          <a:fillRect/>
        </a:stretch>
      </xdr:blipFill>
      <xdr:spPr>
        <a:xfrm>
          <a:off x="822961" y="12472512"/>
          <a:ext cx="1240155" cy="1240155"/>
        </a:xfrm>
        <a:prstGeom prst="ellipse">
          <a:avLst/>
        </a:prstGeom>
      </xdr:spPr>
    </xdr:pic>
    <xdr:clientData/>
  </xdr:twoCellAnchor>
  <xdr:twoCellAnchor>
    <xdr:from>
      <xdr:col>1</xdr:col>
      <xdr:colOff>1550194</xdr:colOff>
      <xdr:row>7</xdr:row>
      <xdr:rowOff>199549</xdr:rowOff>
    </xdr:from>
    <xdr:to>
      <xdr:col>2</xdr:col>
      <xdr:colOff>0</xdr:colOff>
      <xdr:row>7</xdr:row>
      <xdr:rowOff>1696165</xdr:rowOff>
    </xdr:to>
    <xdr:sp macro="" textlink="">
      <xdr:nvSpPr>
        <xdr:cNvPr id="341" name="テキスト ボックス 340">
          <a:extLst>
            <a:ext uri="{FF2B5EF4-FFF2-40B4-BE49-F238E27FC236}">
              <a16:creationId xmlns:a16="http://schemas.microsoft.com/office/drawing/2014/main" id="{00000000-0008-0000-0100-000055010000}"/>
            </a:ext>
          </a:extLst>
        </xdr:cNvPr>
        <xdr:cNvSpPr txBox="1"/>
      </xdr:nvSpPr>
      <xdr:spPr>
        <a:xfrm>
          <a:off x="2235994" y="14467999"/>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ふめい
ふめい
いながきさん</a:t>
          </a:r>
        </a:p>
      </xdr:txBody>
    </xdr:sp>
    <xdr:clientData/>
  </xdr:twoCellAnchor>
  <xdr:twoCellAnchor>
    <xdr:from>
      <xdr:col>1</xdr:col>
      <xdr:colOff>0</xdr:colOff>
      <xdr:row>7</xdr:row>
      <xdr:rowOff>1496616</xdr:rowOff>
    </xdr:from>
    <xdr:to>
      <xdr:col>2</xdr:col>
      <xdr:colOff>0</xdr:colOff>
      <xdr:row>8</xdr:row>
      <xdr:rowOff>0</xdr:rowOff>
    </xdr:to>
    <xdr:sp macro="" textlink="">
      <xdr:nvSpPr>
        <xdr:cNvPr id="342" name="テキスト ボックス 341">
          <a:extLst>
            <a:ext uri="{FF2B5EF4-FFF2-40B4-BE49-F238E27FC236}">
              <a16:creationId xmlns:a16="http://schemas.microsoft.com/office/drawing/2014/main" id="{00000000-0008-0000-0100-000056010000}"/>
            </a:ext>
          </a:extLst>
        </xdr:cNvPr>
        <xdr:cNvSpPr txBox="1"/>
      </xdr:nvSpPr>
      <xdr:spPr>
        <a:xfrm>
          <a:off x="685800" y="15765066"/>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あったことない</a:t>
          </a:r>
        </a:p>
      </xdr:txBody>
    </xdr:sp>
    <xdr:clientData/>
  </xdr:twoCellAnchor>
  <xdr:twoCellAnchor editAs="oneCell">
    <xdr:from>
      <xdr:col>1</xdr:col>
      <xdr:colOff>137160</xdr:colOff>
      <xdr:row>7</xdr:row>
      <xdr:rowOff>199549</xdr:rowOff>
    </xdr:from>
    <xdr:to>
      <xdr:col>1</xdr:col>
      <xdr:colOff>1377315</xdr:colOff>
      <xdr:row>7</xdr:row>
      <xdr:rowOff>1439704</xdr:rowOff>
    </xdr:to>
    <xdr:pic>
      <xdr:nvPicPr>
        <xdr:cNvPr id="344" name="図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link="rId2"/>
        <a:srcRect l="12553" r="12553"/>
        <a:stretch>
          <a:fillRect/>
        </a:stretch>
      </xdr:blipFill>
      <xdr:spPr>
        <a:xfrm>
          <a:off x="822960" y="14467999"/>
          <a:ext cx="1240155" cy="1240155"/>
        </a:xfrm>
        <a:prstGeom prst="ellipse">
          <a:avLst/>
        </a:prstGeom>
      </xdr:spPr>
    </xdr:pic>
    <xdr:clientData/>
  </xdr:twoCellAnchor>
  <xdr:twoCellAnchor>
    <xdr:from>
      <xdr:col>1</xdr:col>
      <xdr:colOff>1550194</xdr:colOff>
      <xdr:row>8</xdr:row>
      <xdr:rowOff>199549</xdr:rowOff>
    </xdr:from>
    <xdr:to>
      <xdr:col>2</xdr:col>
      <xdr:colOff>0</xdr:colOff>
      <xdr:row>8</xdr:row>
      <xdr:rowOff>1696165</xdr:rowOff>
    </xdr:to>
    <xdr:sp macro="" textlink="">
      <xdr:nvSpPr>
        <xdr:cNvPr id="345" name="テキスト ボックス 344">
          <a:extLst>
            <a:ext uri="{FF2B5EF4-FFF2-40B4-BE49-F238E27FC236}">
              <a16:creationId xmlns:a16="http://schemas.microsoft.com/office/drawing/2014/main" id="{00000000-0008-0000-0100-000059010000}"/>
            </a:ext>
          </a:extLst>
        </xdr:cNvPr>
        <xdr:cNvSpPr txBox="1"/>
      </xdr:nvSpPr>
      <xdr:spPr>
        <a:xfrm>
          <a:off x="2235994" y="16463487"/>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社会学科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とうさん</a:t>
          </a:r>
        </a:p>
      </xdr:txBody>
    </xdr:sp>
    <xdr:clientData/>
  </xdr:twoCellAnchor>
  <xdr:twoCellAnchor>
    <xdr:from>
      <xdr:col>1</xdr:col>
      <xdr:colOff>0</xdr:colOff>
      <xdr:row>8</xdr:row>
      <xdr:rowOff>1496615</xdr:rowOff>
    </xdr:from>
    <xdr:to>
      <xdr:col>2</xdr:col>
      <xdr:colOff>0</xdr:colOff>
      <xdr:row>9</xdr:row>
      <xdr:rowOff>0</xdr:rowOff>
    </xdr:to>
    <xdr:sp macro="" textlink="">
      <xdr:nvSpPr>
        <xdr:cNvPr id="346" name="テキスト ボックス 345">
          <a:extLst>
            <a:ext uri="{FF2B5EF4-FFF2-40B4-BE49-F238E27FC236}">
              <a16:creationId xmlns:a16="http://schemas.microsoft.com/office/drawing/2014/main" id="{00000000-0008-0000-0100-00005A010000}"/>
            </a:ext>
          </a:extLst>
        </xdr:cNvPr>
        <xdr:cNvSpPr txBox="1"/>
      </xdr:nvSpPr>
      <xdr:spPr>
        <a:xfrm>
          <a:off x="685800" y="17760553"/>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つよい</a:t>
          </a:r>
        </a:p>
      </xdr:txBody>
    </xdr:sp>
    <xdr:clientData/>
  </xdr:twoCellAnchor>
  <xdr:twoCellAnchor editAs="oneCell">
    <xdr:from>
      <xdr:col>1</xdr:col>
      <xdr:colOff>137160</xdr:colOff>
      <xdr:row>8</xdr:row>
      <xdr:rowOff>199549</xdr:rowOff>
    </xdr:from>
    <xdr:to>
      <xdr:col>1</xdr:col>
      <xdr:colOff>1377315</xdr:colOff>
      <xdr:row>8</xdr:row>
      <xdr:rowOff>1439704</xdr:rowOff>
    </xdr:to>
    <xdr:pic>
      <xdr:nvPicPr>
        <xdr:cNvPr id="348" name="図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link="rId2"/>
        <a:srcRect l="12553" r="12553"/>
        <a:stretch>
          <a:fillRect/>
        </a:stretch>
      </xdr:blipFill>
      <xdr:spPr>
        <a:xfrm>
          <a:off x="822960" y="16463487"/>
          <a:ext cx="1240155" cy="1240155"/>
        </a:xfrm>
        <a:prstGeom prst="ellipse">
          <a:avLst/>
        </a:prstGeom>
      </xdr:spPr>
    </xdr:pic>
    <xdr:clientData/>
  </xdr:twoCellAnchor>
  <xdr:twoCellAnchor>
    <xdr:from>
      <xdr:col>1</xdr:col>
      <xdr:colOff>1550194</xdr:colOff>
      <xdr:row>9</xdr:row>
      <xdr:rowOff>199549</xdr:rowOff>
    </xdr:from>
    <xdr:to>
      <xdr:col>2</xdr:col>
      <xdr:colOff>0</xdr:colOff>
      <xdr:row>9</xdr:row>
      <xdr:rowOff>1696165</xdr:rowOff>
    </xdr:to>
    <xdr:sp macro="" textlink="">
      <xdr:nvSpPr>
        <xdr:cNvPr id="349" name="テキスト ボックス 348">
          <a:extLst>
            <a:ext uri="{FF2B5EF4-FFF2-40B4-BE49-F238E27FC236}">
              <a16:creationId xmlns:a16="http://schemas.microsoft.com/office/drawing/2014/main" id="{00000000-0008-0000-0100-00005D010000}"/>
            </a:ext>
          </a:extLst>
        </xdr:cNvPr>
        <xdr:cNvSpPr txBox="1"/>
      </xdr:nvSpPr>
      <xdr:spPr>
        <a:xfrm>
          <a:off x="2235994" y="18458974"/>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体育学科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しょうさん</a:t>
          </a:r>
        </a:p>
      </xdr:txBody>
    </xdr:sp>
    <xdr:clientData/>
  </xdr:twoCellAnchor>
  <xdr:twoCellAnchor>
    <xdr:from>
      <xdr:col>1</xdr:col>
      <xdr:colOff>0</xdr:colOff>
      <xdr:row>9</xdr:row>
      <xdr:rowOff>1496616</xdr:rowOff>
    </xdr:from>
    <xdr:to>
      <xdr:col>2</xdr:col>
      <xdr:colOff>0</xdr:colOff>
      <xdr:row>10</xdr:row>
      <xdr:rowOff>0</xdr:rowOff>
    </xdr:to>
    <xdr:sp macro="" textlink="">
      <xdr:nvSpPr>
        <xdr:cNvPr id="350" name="テキスト ボックス 349">
          <a:extLst>
            <a:ext uri="{FF2B5EF4-FFF2-40B4-BE49-F238E27FC236}">
              <a16:creationId xmlns:a16="http://schemas.microsoft.com/office/drawing/2014/main" id="{00000000-0008-0000-0100-00005E010000}"/>
            </a:ext>
          </a:extLst>
        </xdr:cNvPr>
        <xdr:cNvSpPr txBox="1"/>
      </xdr:nvSpPr>
      <xdr:spPr>
        <a:xfrm>
          <a:off x="685800" y="19756041"/>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身長が高い</a:t>
          </a:r>
        </a:p>
      </xdr:txBody>
    </xdr:sp>
    <xdr:clientData/>
  </xdr:twoCellAnchor>
  <xdr:twoCellAnchor editAs="oneCell">
    <xdr:from>
      <xdr:col>1</xdr:col>
      <xdr:colOff>137160</xdr:colOff>
      <xdr:row>9</xdr:row>
      <xdr:rowOff>199549</xdr:rowOff>
    </xdr:from>
    <xdr:to>
      <xdr:col>1</xdr:col>
      <xdr:colOff>1377315</xdr:colOff>
      <xdr:row>9</xdr:row>
      <xdr:rowOff>1439704</xdr:rowOff>
    </xdr:to>
    <xdr:pic>
      <xdr:nvPicPr>
        <xdr:cNvPr id="352" name="図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link="rId2"/>
        <a:srcRect l="12553" r="12553"/>
        <a:stretch>
          <a:fillRect/>
        </a:stretch>
      </xdr:blipFill>
      <xdr:spPr>
        <a:xfrm>
          <a:off x="822960" y="18458974"/>
          <a:ext cx="1240155" cy="1240155"/>
        </a:xfrm>
        <a:prstGeom prst="ellipse">
          <a:avLst/>
        </a:prstGeom>
      </xdr:spPr>
    </xdr:pic>
    <xdr:clientData/>
  </xdr:twoCellAnchor>
  <xdr:twoCellAnchor>
    <xdr:from>
      <xdr:col>1</xdr:col>
      <xdr:colOff>1550194</xdr:colOff>
      <xdr:row>10</xdr:row>
      <xdr:rowOff>199549</xdr:rowOff>
    </xdr:from>
    <xdr:to>
      <xdr:col>2</xdr:col>
      <xdr:colOff>0</xdr:colOff>
      <xdr:row>10</xdr:row>
      <xdr:rowOff>1696165</xdr:rowOff>
    </xdr:to>
    <xdr:sp macro="" textlink="">
      <xdr:nvSpPr>
        <xdr:cNvPr id="353" name="テキスト ボックス 352">
          <a:extLst>
            <a:ext uri="{FF2B5EF4-FFF2-40B4-BE49-F238E27FC236}">
              <a16:creationId xmlns:a16="http://schemas.microsoft.com/office/drawing/2014/main" id="{00000000-0008-0000-0100-000061010000}"/>
            </a:ext>
          </a:extLst>
        </xdr:cNvPr>
        <xdr:cNvSpPr txBox="1"/>
      </xdr:nvSpPr>
      <xdr:spPr>
        <a:xfrm>
          <a:off x="2235994" y="20454462"/>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心理学科
ふめい
かまたさん</a:t>
          </a:r>
        </a:p>
      </xdr:txBody>
    </xdr:sp>
    <xdr:clientData/>
  </xdr:twoCellAnchor>
  <xdr:twoCellAnchor>
    <xdr:from>
      <xdr:col>1</xdr:col>
      <xdr:colOff>0</xdr:colOff>
      <xdr:row>10</xdr:row>
      <xdr:rowOff>1496615</xdr:rowOff>
    </xdr:from>
    <xdr:to>
      <xdr:col>2</xdr:col>
      <xdr:colOff>0</xdr:colOff>
      <xdr:row>11</xdr:row>
      <xdr:rowOff>0</xdr:rowOff>
    </xdr:to>
    <xdr:sp macro="" textlink="">
      <xdr:nvSpPr>
        <xdr:cNvPr id="354" name="テキスト ボックス 353">
          <a:extLst>
            <a:ext uri="{FF2B5EF4-FFF2-40B4-BE49-F238E27FC236}">
              <a16:creationId xmlns:a16="http://schemas.microsoft.com/office/drawing/2014/main" id="{00000000-0008-0000-0100-000062010000}"/>
            </a:ext>
          </a:extLst>
        </xdr:cNvPr>
        <xdr:cNvSpPr txBox="1"/>
      </xdr:nvSpPr>
      <xdr:spPr>
        <a:xfrm>
          <a:off x="685800" y="21751528"/>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すごい</a:t>
          </a:r>
        </a:p>
      </xdr:txBody>
    </xdr:sp>
    <xdr:clientData/>
  </xdr:twoCellAnchor>
  <xdr:twoCellAnchor editAs="oneCell">
    <xdr:from>
      <xdr:col>1</xdr:col>
      <xdr:colOff>137161</xdr:colOff>
      <xdr:row>10</xdr:row>
      <xdr:rowOff>199550</xdr:rowOff>
    </xdr:from>
    <xdr:to>
      <xdr:col>1</xdr:col>
      <xdr:colOff>1377316</xdr:colOff>
      <xdr:row>10</xdr:row>
      <xdr:rowOff>1439705</xdr:rowOff>
    </xdr:to>
    <xdr:pic>
      <xdr:nvPicPr>
        <xdr:cNvPr id="356" name="図 355">
          <a:extLst>
            <a:ext uri="{FF2B5EF4-FFF2-40B4-BE49-F238E27FC236}">
              <a16:creationId xmlns:a16="http://schemas.microsoft.com/office/drawing/2014/main" id="{00000000-0008-0000-0100-000064010000}"/>
            </a:ext>
          </a:extLst>
        </xdr:cNvPr>
        <xdr:cNvPicPr>
          <a:picLocks noChangeAspect="1"/>
        </xdr:cNvPicPr>
      </xdr:nvPicPr>
      <xdr:blipFill>
        <a:blip xmlns:r="http://schemas.openxmlformats.org/officeDocument/2006/relationships" r:link="rId3"/>
        <a:srcRect l="12500" r="12500"/>
        <a:stretch>
          <a:fillRect/>
        </a:stretch>
      </xdr:blipFill>
      <xdr:spPr>
        <a:xfrm>
          <a:off x="822961" y="20454463"/>
          <a:ext cx="1240155" cy="1240155"/>
        </a:xfrm>
        <a:prstGeom prst="ellipse">
          <a:avLst/>
        </a:prstGeom>
      </xdr:spPr>
    </xdr:pic>
    <xdr:clientData/>
  </xdr:twoCellAnchor>
  <xdr:twoCellAnchor>
    <xdr:from>
      <xdr:col>1</xdr:col>
      <xdr:colOff>1550194</xdr:colOff>
      <xdr:row>11</xdr:row>
      <xdr:rowOff>199549</xdr:rowOff>
    </xdr:from>
    <xdr:to>
      <xdr:col>2</xdr:col>
      <xdr:colOff>0</xdr:colOff>
      <xdr:row>11</xdr:row>
      <xdr:rowOff>1696165</xdr:rowOff>
    </xdr:to>
    <xdr:sp macro="" textlink="">
      <xdr:nvSpPr>
        <xdr:cNvPr id="357" name="テキスト ボックス 356">
          <a:extLst>
            <a:ext uri="{FF2B5EF4-FFF2-40B4-BE49-F238E27FC236}">
              <a16:creationId xmlns:a16="http://schemas.microsoft.com/office/drawing/2014/main" id="{00000000-0008-0000-0100-000065010000}"/>
            </a:ext>
          </a:extLst>
        </xdr:cNvPr>
        <xdr:cNvSpPr txBox="1"/>
      </xdr:nvSpPr>
      <xdr:spPr>
        <a:xfrm>
          <a:off x="2235994" y="22449949"/>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地球何とか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こばやしさん</a:t>
          </a:r>
        </a:p>
      </xdr:txBody>
    </xdr:sp>
    <xdr:clientData/>
  </xdr:twoCellAnchor>
  <xdr:twoCellAnchor>
    <xdr:from>
      <xdr:col>1</xdr:col>
      <xdr:colOff>0</xdr:colOff>
      <xdr:row>11</xdr:row>
      <xdr:rowOff>1496616</xdr:rowOff>
    </xdr:from>
    <xdr:to>
      <xdr:col>2</xdr:col>
      <xdr:colOff>0</xdr:colOff>
      <xdr:row>12</xdr:row>
      <xdr:rowOff>0</xdr:rowOff>
    </xdr:to>
    <xdr:sp macro="" textlink="">
      <xdr:nvSpPr>
        <xdr:cNvPr id="358" name="テキスト ボックス 357">
          <a:extLst>
            <a:ext uri="{FF2B5EF4-FFF2-40B4-BE49-F238E27FC236}">
              <a16:creationId xmlns:a16="http://schemas.microsoft.com/office/drawing/2014/main" id="{00000000-0008-0000-0100-000066010000}"/>
            </a:ext>
          </a:extLst>
        </xdr:cNvPr>
        <xdr:cNvSpPr txBox="1"/>
      </xdr:nvSpPr>
      <xdr:spPr>
        <a:xfrm>
          <a:off x="685800" y="23747016"/>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ノーコメント</a:t>
          </a:r>
        </a:p>
      </xdr:txBody>
    </xdr:sp>
    <xdr:clientData/>
  </xdr:twoCellAnchor>
  <xdr:twoCellAnchor editAs="oneCell">
    <xdr:from>
      <xdr:col>1</xdr:col>
      <xdr:colOff>137161</xdr:colOff>
      <xdr:row>11</xdr:row>
      <xdr:rowOff>199549</xdr:rowOff>
    </xdr:from>
    <xdr:to>
      <xdr:col>1</xdr:col>
      <xdr:colOff>1377316</xdr:colOff>
      <xdr:row>11</xdr:row>
      <xdr:rowOff>1439704</xdr:rowOff>
    </xdr:to>
    <xdr:pic>
      <xdr:nvPicPr>
        <xdr:cNvPr id="360" name="図 359">
          <a:extLst>
            <a:ext uri="{FF2B5EF4-FFF2-40B4-BE49-F238E27FC236}">
              <a16:creationId xmlns:a16="http://schemas.microsoft.com/office/drawing/2014/main" id="{00000000-0008-0000-0100-000068010000}"/>
            </a:ext>
          </a:extLst>
        </xdr:cNvPr>
        <xdr:cNvPicPr>
          <a:picLocks noChangeAspect="1"/>
        </xdr:cNvPicPr>
      </xdr:nvPicPr>
      <xdr:blipFill>
        <a:blip xmlns:r="http://schemas.openxmlformats.org/officeDocument/2006/relationships" r:link="rId1"/>
        <a:srcRect l="23750" r="23750"/>
        <a:stretch>
          <a:fillRect/>
        </a:stretch>
      </xdr:blipFill>
      <xdr:spPr>
        <a:xfrm>
          <a:off x="822961" y="22449949"/>
          <a:ext cx="1240155" cy="1240155"/>
        </a:xfrm>
        <a:prstGeom prst="ellipse">
          <a:avLst/>
        </a:prstGeom>
      </xdr:spPr>
    </xdr:pic>
    <xdr:clientData/>
  </xdr:twoCellAnchor>
  <xdr:twoCellAnchor>
    <xdr:from>
      <xdr:col>1</xdr:col>
      <xdr:colOff>1550194</xdr:colOff>
      <xdr:row>12</xdr:row>
      <xdr:rowOff>199549</xdr:rowOff>
    </xdr:from>
    <xdr:to>
      <xdr:col>2</xdr:col>
      <xdr:colOff>0</xdr:colOff>
      <xdr:row>12</xdr:row>
      <xdr:rowOff>1696165</xdr:rowOff>
    </xdr:to>
    <xdr:sp macro="" textlink="">
      <xdr:nvSpPr>
        <xdr:cNvPr id="361" name="テキスト ボックス 360">
          <a:extLst>
            <a:ext uri="{FF2B5EF4-FFF2-40B4-BE49-F238E27FC236}">
              <a16:creationId xmlns:a16="http://schemas.microsoft.com/office/drawing/2014/main" id="{00000000-0008-0000-0100-000069010000}"/>
            </a:ext>
          </a:extLst>
        </xdr:cNvPr>
        <xdr:cNvSpPr txBox="1"/>
      </xdr:nvSpPr>
      <xdr:spPr>
        <a:xfrm>
          <a:off x="2235994" y="24445437"/>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相関何とか
</a:t>
          </a:r>
          <a:r>
            <a:rPr kumimoji="1" lang="en-US" altLang="ja-JP" sz="1800">
              <a:latin typeface="源ノ角ゴシック JP" panose="020B0500000000000000" pitchFamily="34" charset="-128"/>
            </a:rPr>
            <a:t>M</a:t>
          </a:r>
          <a:r>
            <a:rPr kumimoji="1" lang="ja-JP" altLang="en-US" sz="1800">
              <a:latin typeface="源ノ角ゴシック JP" panose="020B0500000000000000" pitchFamily="34" charset="-128"/>
            </a:rPr>
            <a:t>１
はらだ</a:t>
          </a:r>
        </a:p>
      </xdr:txBody>
    </xdr:sp>
    <xdr:clientData/>
  </xdr:twoCellAnchor>
  <xdr:twoCellAnchor>
    <xdr:from>
      <xdr:col>1</xdr:col>
      <xdr:colOff>0</xdr:colOff>
      <xdr:row>12</xdr:row>
      <xdr:rowOff>1496615</xdr:rowOff>
    </xdr:from>
    <xdr:to>
      <xdr:col>2</xdr:col>
      <xdr:colOff>0</xdr:colOff>
      <xdr:row>13</xdr:row>
      <xdr:rowOff>0</xdr:rowOff>
    </xdr:to>
    <xdr:sp macro="" textlink="">
      <xdr:nvSpPr>
        <xdr:cNvPr id="362" name="テキスト ボックス 361">
          <a:extLst>
            <a:ext uri="{FF2B5EF4-FFF2-40B4-BE49-F238E27FC236}">
              <a16:creationId xmlns:a16="http://schemas.microsoft.com/office/drawing/2014/main" id="{00000000-0008-0000-0100-00006A010000}"/>
            </a:ext>
          </a:extLst>
        </xdr:cNvPr>
        <xdr:cNvSpPr txBox="1"/>
      </xdr:nvSpPr>
      <xdr:spPr>
        <a:xfrm>
          <a:off x="685800" y="25742503"/>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ねこ</a:t>
          </a:r>
        </a:p>
      </xdr:txBody>
    </xdr:sp>
    <xdr:clientData/>
  </xdr:twoCellAnchor>
  <xdr:twoCellAnchor editAs="oneCell">
    <xdr:from>
      <xdr:col>1</xdr:col>
      <xdr:colOff>137160</xdr:colOff>
      <xdr:row>12</xdr:row>
      <xdr:rowOff>199549</xdr:rowOff>
    </xdr:from>
    <xdr:to>
      <xdr:col>1</xdr:col>
      <xdr:colOff>1377315</xdr:colOff>
      <xdr:row>12</xdr:row>
      <xdr:rowOff>1439704</xdr:rowOff>
    </xdr:to>
    <xdr:pic>
      <xdr:nvPicPr>
        <xdr:cNvPr id="364" name="図 363">
          <a:extLst>
            <a:ext uri="{FF2B5EF4-FFF2-40B4-BE49-F238E27FC236}">
              <a16:creationId xmlns:a16="http://schemas.microsoft.com/office/drawing/2014/main" id="{00000000-0008-0000-0100-00006C010000}"/>
            </a:ext>
          </a:extLst>
        </xdr:cNvPr>
        <xdr:cNvPicPr>
          <a:picLocks noChangeAspect="1"/>
        </xdr:cNvPicPr>
      </xdr:nvPicPr>
      <xdr:blipFill>
        <a:blip xmlns:r="http://schemas.openxmlformats.org/officeDocument/2006/relationships" r:link="rId2"/>
        <a:srcRect l="12553" r="12553"/>
        <a:stretch>
          <a:fillRect/>
        </a:stretch>
      </xdr:blipFill>
      <xdr:spPr>
        <a:xfrm>
          <a:off x="822960" y="24445437"/>
          <a:ext cx="1240155" cy="1240155"/>
        </a:xfrm>
        <a:prstGeom prst="ellipse">
          <a:avLst/>
        </a:prstGeom>
      </xdr:spPr>
    </xdr:pic>
    <xdr:clientData/>
  </xdr:twoCellAnchor>
  <xdr:twoCellAnchor>
    <xdr:from>
      <xdr:col>1</xdr:col>
      <xdr:colOff>1550194</xdr:colOff>
      <xdr:row>13</xdr:row>
      <xdr:rowOff>199548</xdr:rowOff>
    </xdr:from>
    <xdr:to>
      <xdr:col>2</xdr:col>
      <xdr:colOff>0</xdr:colOff>
      <xdr:row>13</xdr:row>
      <xdr:rowOff>1696164</xdr:rowOff>
    </xdr:to>
    <xdr:sp macro="" textlink="">
      <xdr:nvSpPr>
        <xdr:cNvPr id="365" name="テキスト ボックス 364">
          <a:extLst>
            <a:ext uri="{FF2B5EF4-FFF2-40B4-BE49-F238E27FC236}">
              <a16:creationId xmlns:a16="http://schemas.microsoft.com/office/drawing/2014/main" id="{00000000-0008-0000-0100-00006D010000}"/>
            </a:ext>
          </a:extLst>
        </xdr:cNvPr>
        <xdr:cNvSpPr txBox="1"/>
      </xdr:nvSpPr>
      <xdr:spPr>
        <a:xfrm>
          <a:off x="2235994" y="26440923"/>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相関何とか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さかぐちさん</a:t>
          </a:r>
        </a:p>
      </xdr:txBody>
    </xdr:sp>
    <xdr:clientData/>
  </xdr:twoCellAnchor>
  <xdr:twoCellAnchor>
    <xdr:from>
      <xdr:col>1</xdr:col>
      <xdr:colOff>0</xdr:colOff>
      <xdr:row>13</xdr:row>
      <xdr:rowOff>1496616</xdr:rowOff>
    </xdr:from>
    <xdr:to>
      <xdr:col>2</xdr:col>
      <xdr:colOff>0</xdr:colOff>
      <xdr:row>14</xdr:row>
      <xdr:rowOff>0</xdr:rowOff>
    </xdr:to>
    <xdr:sp macro="" textlink="">
      <xdr:nvSpPr>
        <xdr:cNvPr id="366" name="テキスト ボックス 365">
          <a:extLst>
            <a:ext uri="{FF2B5EF4-FFF2-40B4-BE49-F238E27FC236}">
              <a16:creationId xmlns:a16="http://schemas.microsoft.com/office/drawing/2014/main" id="{00000000-0008-0000-0100-00006E010000}"/>
            </a:ext>
          </a:extLst>
        </xdr:cNvPr>
        <xdr:cNvSpPr txBox="1"/>
      </xdr:nvSpPr>
      <xdr:spPr>
        <a:xfrm>
          <a:off x="685800" y="27737991"/>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かわいい</a:t>
          </a:r>
        </a:p>
      </xdr:txBody>
    </xdr:sp>
    <xdr:clientData/>
  </xdr:twoCellAnchor>
  <xdr:twoCellAnchor editAs="oneCell">
    <xdr:from>
      <xdr:col>1</xdr:col>
      <xdr:colOff>137161</xdr:colOff>
      <xdr:row>13</xdr:row>
      <xdr:rowOff>199549</xdr:rowOff>
    </xdr:from>
    <xdr:to>
      <xdr:col>1</xdr:col>
      <xdr:colOff>1377316</xdr:colOff>
      <xdr:row>13</xdr:row>
      <xdr:rowOff>1439704</xdr:rowOff>
    </xdr:to>
    <xdr:pic>
      <xdr:nvPicPr>
        <xdr:cNvPr id="368" name="図 367">
          <a:extLst>
            <a:ext uri="{FF2B5EF4-FFF2-40B4-BE49-F238E27FC236}">
              <a16:creationId xmlns:a16="http://schemas.microsoft.com/office/drawing/2014/main" id="{00000000-0008-0000-0100-000070010000}"/>
            </a:ext>
          </a:extLst>
        </xdr:cNvPr>
        <xdr:cNvPicPr>
          <a:picLocks noChangeAspect="1"/>
        </xdr:cNvPicPr>
      </xdr:nvPicPr>
      <xdr:blipFill>
        <a:blip xmlns:r="http://schemas.openxmlformats.org/officeDocument/2006/relationships" r:link="rId3"/>
        <a:srcRect l="12500" r="12500"/>
        <a:stretch>
          <a:fillRect/>
        </a:stretch>
      </xdr:blipFill>
      <xdr:spPr>
        <a:xfrm>
          <a:off x="822961" y="26440924"/>
          <a:ext cx="1240155" cy="1240155"/>
        </a:xfrm>
        <a:prstGeom prst="ellipse">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381000</xdr:colOff>
          <xdr:row>2</xdr:row>
          <xdr:rowOff>63500</xdr:rowOff>
        </xdr:from>
        <xdr:to>
          <xdr:col>11</xdr:col>
          <xdr:colOff>666750</xdr:colOff>
          <xdr:row>4</xdr:row>
          <xdr:rowOff>101600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profile update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647700</xdr:colOff>
          <xdr:row>0</xdr:row>
          <xdr:rowOff>114300</xdr:rowOff>
        </xdr:from>
        <xdr:to>
          <xdr:col>8</xdr:col>
          <xdr:colOff>76200</xdr:colOff>
          <xdr:row>1</xdr:row>
          <xdr:rowOff>203200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シフト読み込み</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univ_colour">
      <a:dk1>
        <a:sysClr val="windowText" lastClr="000000"/>
      </a:dk1>
      <a:lt1>
        <a:srgbClr val="FF4B00"/>
      </a:lt1>
      <a:dk2>
        <a:srgbClr val="44546A"/>
      </a:dk2>
      <a:lt2>
        <a:srgbClr val="804000"/>
      </a:lt2>
      <a:accent1>
        <a:srgbClr val="005AFF"/>
      </a:accent1>
      <a:accent2>
        <a:srgbClr val="F6AA00"/>
      </a:accent2>
      <a:accent3>
        <a:srgbClr val="A5A5A5"/>
      </a:accent3>
      <a:accent4>
        <a:srgbClr val="FFF100"/>
      </a:accent4>
      <a:accent5>
        <a:srgbClr val="4DC4FF"/>
      </a:accent5>
      <a:accent6>
        <a:srgbClr val="03AF7A"/>
      </a:accent6>
      <a:hlink>
        <a:srgbClr val="FF8082"/>
      </a:hlink>
      <a:folHlink>
        <a:srgbClr val="80009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V26"/>
  <sheetViews>
    <sheetView tabSelected="1" zoomScale="80" zoomScaleNormal="80" workbookViewId="0">
      <selection activeCell="H4" sqref="H4"/>
    </sheetView>
  </sheetViews>
  <sheetFormatPr defaultColWidth="8.83203125" defaultRowHeight="18"/>
  <cols>
    <col min="1" max="1" width="6.08203125" customWidth="1"/>
    <col min="2" max="2" width="4.75" customWidth="1"/>
    <col min="3" max="9" width="18.58203125" customWidth="1"/>
    <col min="10" max="10" width="5.75" customWidth="1"/>
    <col min="11" max="11" width="20.5" customWidth="1"/>
    <col min="12" max="12" width="23.5" customWidth="1"/>
    <col min="13" max="13" width="13.25" customWidth="1"/>
    <col min="14" max="14" width="15.5" customWidth="1"/>
  </cols>
  <sheetData>
    <row r="1" spans="1:22" ht="22.9" customHeight="1">
      <c r="B1" s="14"/>
      <c r="K1" s="17" t="s">
        <v>24</v>
      </c>
      <c r="L1" s="18" t="s">
        <v>23</v>
      </c>
      <c r="O1">
        <v>12</v>
      </c>
      <c r="P1">
        <v>0</v>
      </c>
      <c r="U1" t="s">
        <v>167</v>
      </c>
    </row>
    <row r="2" spans="1:22" ht="36.4" customHeight="1">
      <c r="A2" s="20"/>
      <c r="B2" s="21"/>
      <c r="C2" s="20"/>
      <c r="D2" s="20"/>
      <c r="E2" s="22"/>
      <c r="F2" s="23" t="s">
        <v>13</v>
      </c>
      <c r="G2" s="22"/>
      <c r="H2" s="22"/>
      <c r="I2" s="22"/>
      <c r="K2" s="15">
        <f ca="1">TODAY()</f>
        <v>43728</v>
      </c>
      <c r="L2" s="16">
        <f ca="1">NOW()-INT(NOW())</f>
        <v>0.75120925925875781</v>
      </c>
      <c r="N2" s="2"/>
      <c r="T2" t="s">
        <v>168</v>
      </c>
    </row>
    <row r="3" spans="1:22" ht="30" customHeight="1">
      <c r="A3" s="20"/>
      <c r="B3" s="24"/>
      <c r="C3" s="25" t="s">
        <v>14</v>
      </c>
      <c r="D3" s="25" t="s">
        <v>15</v>
      </c>
      <c r="E3" s="25" t="s">
        <v>17</v>
      </c>
      <c r="F3" s="25" t="s">
        <v>16</v>
      </c>
      <c r="G3" s="25" t="s">
        <v>18</v>
      </c>
      <c r="H3" s="25" t="s">
        <v>19</v>
      </c>
      <c r="I3" s="25" t="s">
        <v>20</v>
      </c>
      <c r="K3" s="5"/>
      <c r="N3" s="4"/>
    </row>
    <row r="4" spans="1:22" ht="70" customHeight="1">
      <c r="A4" s="20"/>
      <c r="B4" s="23">
        <v>1</v>
      </c>
      <c r="C4" s="34" t="str">
        <f ca="1">IF(ISNUMBER(IF(INDEX(生データ!$D:$D,MATCH(D22,生データ!$D:$D,1))=D22,VLOOKUP(D22,生データ!$D:$F,3,TRUE),)),"予約済"&amp;IF(VLOOKUP(D22,生データ!$D:$F,2,TRUE)=1,CHAR(10)&amp;"(貸出中)",""),"")</f>
        <v/>
      </c>
      <c r="D4" s="35" t="str">
        <f ca="1">IF(ISNUMBER(IF(INDEX(生データ!$D:$D,MATCH(E22,生データ!$D:$D,1))=E22,VLOOKUP(E22,生データ!$D:$F,3,TRUE),)),"予約済"&amp;IF(VLOOKUP(E22,生データ!$D:$F,2,TRUE)=1,CHAR(10)&amp;"(貸出中)",""),"")</f>
        <v>予約済</v>
      </c>
      <c r="E4" s="34" t="str">
        <f ca="1">IF(ISNUMBER(IF(INDEX(生データ!$D:$D,MATCH(F22,生データ!$D:$D,1))=F22,VLOOKUP(F22,生データ!$D:$F,3,TRUE),)),"予約済"&amp;IF(VLOOKUP(F22,生データ!$D:$F,2,TRUE)=1,CHAR(10)&amp;"(貸出中)",""),"")</f>
        <v/>
      </c>
      <c r="F4" s="34" t="str">
        <f ca="1">IF(ISNUMBER(IF(INDEX(生データ!$D:$D,MATCH(G22,生データ!$D:$D,1))=G22,VLOOKUP(G22,生データ!$D:$F,3,TRUE),)),"予約済"&amp;IF(VLOOKUP(G22,生データ!$D:$F,2,TRUE)=1,CHAR(10)&amp;"(貸出中)",""),"")</f>
        <v/>
      </c>
      <c r="G4" s="34" t="str">
        <f ca="1">IF(ISNUMBER(IF(INDEX(生データ!$D:$D,MATCH(H22,生データ!$D:$D,1))=H22,VLOOKUP(H22,生データ!$D:$F,3,TRUE),)),"予約済"&amp;IF(VLOOKUP(H22,生データ!$D:$F,2,TRUE)=1,CHAR(10)&amp;"(貸出中)",""),"")</f>
        <v/>
      </c>
      <c r="H4" s="34" t="str">
        <f ca="1">IF(ISNUMBER(IF(INDEX(生データ!$D:$D,MATCH(I22,生データ!$D:$D,1))=I22,VLOOKUP(I22,生データ!$D:$F,3,TRUE),)),"予約済"&amp;IF(VLOOKUP(I22,生データ!$D:$F,2,TRUE)=1,CHAR(10)&amp;"(貸出中)",""),"")</f>
        <v/>
      </c>
      <c r="I4" s="36" t="str">
        <f ca="1">IF(ISNUMBER(IF(INDEX(生データ!$D:$D,MATCH(J22,生データ!$D:$D,1))=J22,VLOOKUP(J22,生データ!$D:$F,3,TRUE),)),"予約済"&amp;IF(VLOOKUP(J22,生データ!$D:$F,2,TRUE)=1,CHAR(10)&amp;"(貸出中)",""),"")</f>
        <v/>
      </c>
      <c r="K4" s="31"/>
      <c r="L4" s="31"/>
      <c r="M4" s="32"/>
      <c r="N4" s="32"/>
      <c r="T4" t="s">
        <v>165</v>
      </c>
    </row>
    <row r="5" spans="1:22" ht="70" customHeight="1">
      <c r="A5" s="30" t="s">
        <v>12</v>
      </c>
      <c r="B5" s="23">
        <v>2</v>
      </c>
      <c r="C5" s="34" t="str">
        <f ca="1">IF(ISNUMBER(IF(INDEX(生データ!$D:$D,MATCH(D23,生データ!$D:$D,1))=D23,VLOOKUP(D23,生データ!$D:$F,3,TRUE),)),"予約済"&amp;IF(VLOOKUP(D23,生データ!$D:$F,2,TRUE)=1,CHAR(10)&amp;"(貸出中)",""),"")</f>
        <v/>
      </c>
      <c r="D5" s="34" t="str">
        <f ca="1">IF(ISNUMBER(IF(INDEX(生データ!$D:$D,MATCH(E23,生データ!$D:$D,1))=E23,VLOOKUP(E23,生データ!$D:$F,3,TRUE),)),"予約済"&amp;IF(VLOOKUP(E23,生データ!$D:$F,2,TRUE)=1,CHAR(10)&amp;"(貸出中)",""),"")</f>
        <v/>
      </c>
      <c r="E5" s="34" t="str">
        <f ca="1">IF(ISNUMBER(IF(INDEX(生データ!$D:$D,MATCH(F23,生データ!$D:$D,1))=F23,VLOOKUP(F23,生データ!$D:$F,3,TRUE),)),"予約済"&amp;IF(VLOOKUP(F23,生データ!$D:$F,2,TRUE)=1,CHAR(10)&amp;"(貸出中)",""),"")</f>
        <v/>
      </c>
      <c r="F5" s="34" t="str">
        <f ca="1">IF(ISNUMBER(IF(INDEX(生データ!$D:$D,MATCH(G23,生データ!$D:$D,1))=G23,VLOOKUP(G23,生データ!$D:$F,3,TRUE),)),"予約済"&amp;IF(VLOOKUP(G23,生データ!$D:$F,2,TRUE)=1,CHAR(10)&amp;"(貸出中)",""),"")</f>
        <v/>
      </c>
      <c r="G5" s="34" t="str">
        <f ca="1">IF(ISNUMBER(IF(INDEX(生データ!$D:$D,MATCH(H23,生データ!$D:$D,1))=H23,VLOOKUP(H23,生データ!$D:$F,3,TRUE),)),"予約済"&amp;IF(VLOOKUP(H23,生データ!$D:$F,2,TRUE)=1,CHAR(10)&amp;"(貸出中)",""),"")</f>
        <v/>
      </c>
      <c r="H5" s="35" t="str">
        <f ca="1">IF(ISNUMBER(IF(INDEX(生データ!$D:$D,MATCH(I23,生データ!$D:$D,1))=I23,VLOOKUP(I23,生データ!$D:$F,3,TRUE),)),"予約済"&amp;IF(VLOOKUP(I23,生データ!$D:$F,2,TRUE)=1,CHAR(10)&amp;"(貸出中)",""),"")</f>
        <v>予約済</v>
      </c>
      <c r="I5" s="27" t="str">
        <f ca="1">IF(ISNUMBER(IF(INDEX(生データ!$D:$D,MATCH(J23,生データ!$D:$D,1))=J23,VLOOKUP(J23,生データ!$D:$F,3,TRUE),)),"予約済"&amp;IF(VLOOKUP(J23,生データ!$D:$F,2,TRUE)=1,CHAR(10)&amp;"(貸出中)",""),"")</f>
        <v>予約済</v>
      </c>
      <c r="K5" s="31"/>
      <c r="L5" s="31"/>
      <c r="M5" s="32"/>
      <c r="N5" s="32"/>
      <c r="T5" t="s">
        <v>166</v>
      </c>
    </row>
    <row r="6" spans="1:22" ht="70" customHeight="1">
      <c r="A6" s="30"/>
      <c r="B6" s="23">
        <v>3</v>
      </c>
      <c r="C6" s="34" t="str">
        <f ca="1">IF(ISNUMBER(IF(INDEX(生データ!$D:$D,MATCH(D24,生データ!$D:$D,1))=D24,VLOOKUP(D24,生データ!$D:$F,3,TRUE),)),"予約済"&amp;IF(VLOOKUP(D24,生データ!$D:$F,2,TRUE)=1,CHAR(10)&amp;"(貸出中)",""),"")</f>
        <v/>
      </c>
      <c r="D6" s="34" t="str">
        <f ca="1">IF(ISNUMBER(IF(INDEX(生データ!$D:$D,MATCH(E24,生データ!$D:$D,1))=E24,VLOOKUP(E24,生データ!$D:$F,3,TRUE),)),"予約済"&amp;IF(VLOOKUP(E24,生データ!$D:$F,2,TRUE)=1,CHAR(10)&amp;"(貸出中)",""),"")</f>
        <v/>
      </c>
      <c r="E6" s="35" t="str">
        <f ca="1">IF(ISNUMBER(IF(INDEX(生データ!$D:$D,MATCH(F24,生データ!$D:$D,1))=F24,VLOOKUP(F24,生データ!$D:$F,3,TRUE),)),"予約済"&amp;IF(VLOOKUP(F24,生データ!$D:$F,2,TRUE)=1,CHAR(10)&amp;"(貸出中)",""),"")</f>
        <v>予約済</v>
      </c>
      <c r="F6" s="35" t="str">
        <f ca="1">IF(ISNUMBER(IF(INDEX(生データ!$D:$D,MATCH(G24,生データ!$D:$D,1))=G24,VLOOKUP(G24,生データ!$D:$F,3,TRUE),)),"予約済"&amp;IF(VLOOKUP(G24,生データ!$D:$F,2,TRUE)=1,CHAR(10)&amp;"(貸出中)",""),"")</f>
        <v>予約済</v>
      </c>
      <c r="G6" s="35" t="str">
        <f ca="1">IF(ISNUMBER(IF(INDEX(生データ!$D:$D,MATCH(H24,生データ!$D:$D,1))=H24,VLOOKUP(H24,生データ!$D:$F,3,TRUE),)),"予約済"&amp;IF(VLOOKUP(H24,生データ!$D:$F,2,TRUE)=1,CHAR(10)&amp;"(貸出中)",""),"")</f>
        <v>予約済</v>
      </c>
      <c r="H6" s="34" t="str">
        <f ca="1">IF(ISNUMBER(IF(INDEX(生データ!$D:$D,MATCH(I24,生データ!$D:$D,1))=I24,VLOOKUP(I24,生データ!$D:$F,3,TRUE),)),"予約済"&amp;IF(VLOOKUP(I24,生データ!$D:$F,2,TRUE)=1,CHAR(10)&amp;"(貸出中)",""),"")</f>
        <v/>
      </c>
      <c r="I6" s="36" t="str">
        <f ca="1">IF(ISNUMBER(IF(INDEX(生データ!$D:$D,MATCH(J24,生データ!$D:$D,1))=J24,VLOOKUP(J24,生データ!$D:$F,3,TRUE),)),"予約済"&amp;IF(VLOOKUP(J24,生データ!$D:$F,2,TRUE)=1,CHAR(10)&amp;"(貸出中)",""),"")</f>
        <v/>
      </c>
      <c r="K6" s="33"/>
      <c r="L6" s="33"/>
    </row>
    <row r="7" spans="1:22" ht="70" customHeight="1">
      <c r="A7" s="30"/>
      <c r="B7" s="23">
        <v>4</v>
      </c>
      <c r="C7" s="34" t="str">
        <f ca="1">IF(ISNUMBER(IF(INDEX(生データ!$D:$D,MATCH(D25,生データ!$D:$D,1))=D25,VLOOKUP(D25,生データ!$D:$F,3,TRUE),)),"予約済"&amp;IF(VLOOKUP(D25,生データ!$D:$F,2,TRUE)=1,CHAR(10)&amp;"(貸出中)",""),"")</f>
        <v/>
      </c>
      <c r="D7" s="34" t="str">
        <f ca="1">IF(ISNUMBER(IF(INDEX(生データ!$D:$D,MATCH(E25,生データ!$D:$D,1))=E25,VLOOKUP(E25,生データ!$D:$F,3,TRUE),)),"予約済"&amp;IF(VLOOKUP(E25,生データ!$D:$F,2,TRUE)=1,CHAR(10)&amp;"(貸出中)",""),"")</f>
        <v/>
      </c>
      <c r="E7" s="34" t="str">
        <f ca="1">IF(ISNUMBER(IF(INDEX(生データ!$D:$D,MATCH(F25,生データ!$D:$D,1))=F25,VLOOKUP(F25,生データ!$D:$F,3,TRUE),)),"予約済"&amp;IF(VLOOKUP(F25,生データ!$D:$F,2,TRUE)=1,CHAR(10)&amp;"(貸出中)",""),"")</f>
        <v/>
      </c>
      <c r="F7" s="34" t="str">
        <f ca="1">IF(ISNUMBER(IF(INDEX(生データ!$D:$D,MATCH(G25,生データ!$D:$D,1))=G25,VLOOKUP(G25,生データ!$D:$F,3,TRUE),)),"予約済"&amp;IF(VLOOKUP(G25,生データ!$D:$F,2,TRUE)=1,CHAR(10)&amp;"(貸出中)",""),"")</f>
        <v/>
      </c>
      <c r="G7" s="34" t="str">
        <f ca="1">IF(ISNUMBER(IF(INDEX(生データ!$D:$D,MATCH(H25,生データ!$D:$D,1))=H25,VLOOKUP(H25,生データ!$D:$F,3,TRUE),)),"予約済"&amp;IF(VLOOKUP(H25,生データ!$D:$F,2,TRUE)=1,CHAR(10)&amp;"(貸出中)",""),"")</f>
        <v/>
      </c>
      <c r="H7" s="34" t="str">
        <f ca="1">IF(ISNUMBER(IF(INDEX(生データ!$D:$D,MATCH(I25,生データ!$D:$D,1))=I25,VLOOKUP(I25,生データ!$D:$F,3,TRUE),)),"予約済"&amp;IF(VLOOKUP(I25,生データ!$D:$F,2,TRUE)=1,CHAR(10)&amp;"(貸出中)",""),"")</f>
        <v/>
      </c>
      <c r="I7" s="36" t="str">
        <f ca="1">IF(ISNUMBER(IF(INDEX(生データ!$D:$D,MATCH(J25,生データ!$D:$D,1))=J25,VLOOKUP(J25,生データ!$D:$F,3,TRUE),)),"予約済"&amp;IF(VLOOKUP(J25,生データ!$D:$F,2,TRUE)=1,CHAR(10)&amp;"(貸出中)",""),"")</f>
        <v/>
      </c>
      <c r="K7" s="33"/>
      <c r="L7" s="33"/>
      <c r="V7" t="s">
        <v>169</v>
      </c>
    </row>
    <row r="8" spans="1:22" ht="70" customHeight="1">
      <c r="A8" s="22"/>
      <c r="B8" s="23">
        <v>5</v>
      </c>
      <c r="C8" s="34" t="str">
        <f ca="1">IF(ISNUMBER(IF(INDEX(生データ!$D:$D,MATCH(D26,生データ!$D:$D,1))=D26,VLOOKUP(D26,生データ!$D:$F,3,TRUE),)),"予約済"&amp;IF(VLOOKUP(D26,生データ!$D:$F,2,TRUE)=1,CHAR(10)&amp;"(貸出中)",""),"")</f>
        <v/>
      </c>
      <c r="D8" s="34" t="str">
        <f ca="1">IF(ISNUMBER(IF(INDEX(生データ!$D:$D,MATCH(E26,生データ!$D:$D,1))=E26,VLOOKUP(E26,生データ!$D:$F,3,TRUE),)),"予約済"&amp;IF(VLOOKUP(E26,生データ!$D:$F,2,TRUE)=1,CHAR(10)&amp;"(貸出中)",""),"")</f>
        <v/>
      </c>
      <c r="E8" s="34" t="str">
        <f ca="1">IF(ISNUMBER(IF(INDEX(生データ!$D:$D,MATCH(F26,生データ!$D:$D,1))=F26,VLOOKUP(F26,生データ!$D:$F,3,TRUE),)),"予約済"&amp;IF(VLOOKUP(F26,生データ!$D:$F,2,TRUE)=1,CHAR(10)&amp;"(貸出中)",""),"")</f>
        <v/>
      </c>
      <c r="F8" s="34" t="str">
        <f ca="1">IF(ISNUMBER(IF(INDEX(生データ!$D:$D,MATCH(G26,生データ!$D:$D,1))=G26,VLOOKUP(G26,生データ!$D:$F,3,TRUE),)),"予約済"&amp;IF(VLOOKUP(G26,生データ!$D:$F,2,TRUE)=1,CHAR(10)&amp;"(貸出中)",""),"")</f>
        <v/>
      </c>
      <c r="G8" s="34" t="str">
        <f ca="1">IF(ISNUMBER(IF(INDEX(生データ!$D:$D,MATCH(H26,生データ!$D:$D,1))=H26,VLOOKUP(H26,生データ!$D:$F,3,TRUE),)),"予約済"&amp;IF(VLOOKUP(H26,生データ!$D:$F,2,TRUE)=1,CHAR(10)&amp;"(貸出中)",""),"")</f>
        <v/>
      </c>
      <c r="H8" s="34" t="str">
        <f ca="1">IF(ISNUMBER(IF(INDEX(生データ!$D:$D,MATCH(I26,生データ!$D:$D,1))=I26,VLOOKUP(I26,生データ!$D:$F,3,TRUE),)),"予約済"&amp;IF(VLOOKUP(I26,生データ!$D:$F,2,TRUE)=1,CHAR(10)&amp;"(貸出中)",""),"")</f>
        <v/>
      </c>
      <c r="I8" s="36" t="str">
        <f ca="1">IF(ISNUMBER(IF(INDEX(生データ!$D:$D,MATCH(J26,生データ!$D:$D,1))=J26,VLOOKUP(J26,生データ!$D:$F,3,TRUE),)),"予約済"&amp;IF(VLOOKUP(J26,生データ!$D:$F,2,TRUE)=1,CHAR(10)&amp;"(貸出中)",""),"")</f>
        <v/>
      </c>
    </row>
    <row r="10" spans="1:22" ht="30" customHeight="1">
      <c r="C10" s="28" t="s">
        <v>170</v>
      </c>
    </row>
    <row r="11" spans="1:22" ht="30" customHeight="1">
      <c r="C11" s="28" t="s">
        <v>171</v>
      </c>
    </row>
    <row r="12" spans="1:22" ht="58.9" customHeight="1">
      <c r="H12" s="1"/>
    </row>
    <row r="13" spans="1:22" ht="41.65" customHeight="1">
      <c r="H13" s="1"/>
    </row>
    <row r="14" spans="1:22" ht="58.9" customHeight="1">
      <c r="H14" s="1"/>
    </row>
    <row r="17" spans="3:10">
      <c r="G17" s="7"/>
      <c r="H17" s="3"/>
    </row>
    <row r="18" spans="3:10">
      <c r="G18" s="7"/>
      <c r="H18" s="3"/>
    </row>
    <row r="19" spans="3:10">
      <c r="C19" s="3"/>
      <c r="D19" s="3"/>
      <c r="G19" s="7"/>
      <c r="H19" s="3"/>
    </row>
    <row r="20" spans="3:10">
      <c r="C20" s="3"/>
      <c r="D20" s="3"/>
      <c r="G20" s="7"/>
      <c r="H20" s="3"/>
    </row>
    <row r="21" spans="3:10" hidden="1">
      <c r="C21" s="3" t="str">
        <f ca="1">TEXT(K2,"yyyymmdd")</f>
        <v>20190920</v>
      </c>
      <c r="D21" s="3">
        <v>1</v>
      </c>
      <c r="E21">
        <v>2</v>
      </c>
      <c r="F21" s="3">
        <v>3</v>
      </c>
      <c r="G21" s="3">
        <v>4</v>
      </c>
      <c r="H21" s="3">
        <v>5</v>
      </c>
      <c r="I21" s="3">
        <v>6</v>
      </c>
      <c r="J21" s="3">
        <v>7</v>
      </c>
    </row>
    <row r="22" spans="3:10" hidden="1">
      <c r="C22" s="3">
        <v>1</v>
      </c>
      <c r="D22" s="3">
        <f ca="1">$C$21*100+D$21*10+$C22</f>
        <v>2019092011</v>
      </c>
      <c r="E22" s="3">
        <f t="shared" ref="E22:J22" ca="1" si="0">$C$21*100+E$21*10+$C22</f>
        <v>2019092021</v>
      </c>
      <c r="F22" s="3">
        <f t="shared" ca="1" si="0"/>
        <v>2019092031</v>
      </c>
      <c r="G22" s="3">
        <f t="shared" ca="1" si="0"/>
        <v>2019092041</v>
      </c>
      <c r="H22" s="3">
        <f t="shared" ca="1" si="0"/>
        <v>2019092051</v>
      </c>
      <c r="I22" s="3">
        <f t="shared" ca="1" si="0"/>
        <v>2019092061</v>
      </c>
      <c r="J22" s="3">
        <f t="shared" ca="1" si="0"/>
        <v>2019092071</v>
      </c>
    </row>
    <row r="23" spans="3:10" hidden="1">
      <c r="C23" s="3">
        <v>2</v>
      </c>
      <c r="D23" s="3">
        <f t="shared" ref="D23:J26" ca="1" si="1">$C$21*100+D$21*10+$C23</f>
        <v>2019092012</v>
      </c>
      <c r="E23" s="3">
        <f t="shared" ca="1" si="1"/>
        <v>2019092022</v>
      </c>
      <c r="F23" s="3">
        <f t="shared" ca="1" si="1"/>
        <v>2019092032</v>
      </c>
      <c r="G23" s="3">
        <f t="shared" ca="1" si="1"/>
        <v>2019092042</v>
      </c>
      <c r="H23" s="3">
        <f t="shared" ca="1" si="1"/>
        <v>2019092052</v>
      </c>
      <c r="I23" s="3">
        <f t="shared" ca="1" si="1"/>
        <v>2019092062</v>
      </c>
      <c r="J23" s="3">
        <f t="shared" ca="1" si="1"/>
        <v>2019092072</v>
      </c>
    </row>
    <row r="24" spans="3:10" hidden="1">
      <c r="C24" s="3">
        <v>3</v>
      </c>
      <c r="D24" s="3">
        <f t="shared" ca="1" si="1"/>
        <v>2019092013</v>
      </c>
      <c r="E24" s="3">
        <f t="shared" ca="1" si="1"/>
        <v>2019092023</v>
      </c>
      <c r="F24" s="3">
        <f t="shared" ca="1" si="1"/>
        <v>2019092033</v>
      </c>
      <c r="G24" s="3">
        <f t="shared" ca="1" si="1"/>
        <v>2019092043</v>
      </c>
      <c r="H24" s="3">
        <f t="shared" ca="1" si="1"/>
        <v>2019092053</v>
      </c>
      <c r="I24" s="3">
        <f t="shared" ca="1" si="1"/>
        <v>2019092063</v>
      </c>
      <c r="J24" s="3">
        <f t="shared" ca="1" si="1"/>
        <v>2019092073</v>
      </c>
    </row>
    <row r="25" spans="3:10" hidden="1">
      <c r="C25" s="3">
        <v>4</v>
      </c>
      <c r="D25" s="3">
        <f t="shared" ca="1" si="1"/>
        <v>2019092014</v>
      </c>
      <c r="E25" s="3">
        <f t="shared" ca="1" si="1"/>
        <v>2019092024</v>
      </c>
      <c r="F25" s="3">
        <f t="shared" ca="1" si="1"/>
        <v>2019092034</v>
      </c>
      <c r="G25" s="3">
        <f t="shared" ca="1" si="1"/>
        <v>2019092044</v>
      </c>
      <c r="H25" s="3">
        <f t="shared" ca="1" si="1"/>
        <v>2019092054</v>
      </c>
      <c r="I25" s="3">
        <f t="shared" ca="1" si="1"/>
        <v>2019092064</v>
      </c>
      <c r="J25" s="3">
        <f t="shared" ca="1" si="1"/>
        <v>2019092074</v>
      </c>
    </row>
    <row r="26" spans="3:10" hidden="1">
      <c r="C26" s="3">
        <v>5</v>
      </c>
      <c r="D26" s="3">
        <f t="shared" ca="1" si="1"/>
        <v>2019092015</v>
      </c>
      <c r="E26" s="3">
        <f t="shared" ca="1" si="1"/>
        <v>2019092025</v>
      </c>
      <c r="F26" s="3">
        <f t="shared" ca="1" si="1"/>
        <v>2019092035</v>
      </c>
      <c r="G26" s="3">
        <f t="shared" ca="1" si="1"/>
        <v>2019092045</v>
      </c>
      <c r="H26" s="3">
        <f t="shared" ca="1" si="1"/>
        <v>2019092055</v>
      </c>
      <c r="I26" s="3">
        <f t="shared" ca="1" si="1"/>
        <v>2019092065</v>
      </c>
      <c r="J26" s="3">
        <f t="shared" ca="1" si="1"/>
        <v>2019092075</v>
      </c>
    </row>
  </sheetData>
  <sheetProtection sheet="1" objects="1" scenarios="1"/>
  <protectedRanges>
    <protectedRange sqref="T4" name="範囲4"/>
    <protectedRange sqref="K2:L2" name="範囲3"/>
    <protectedRange sqref="O1:P1" name="範囲2"/>
  </protectedRanges>
  <mergeCells count="4">
    <mergeCell ref="A5:A7"/>
    <mergeCell ref="K4:L5"/>
    <mergeCell ref="M4:N5"/>
    <mergeCell ref="K6:L7"/>
  </mergeCells>
  <phoneticPr fontId="1"/>
  <pageMargins left="0.25" right="0.25" top="0.75" bottom="0.75" header="0.3" footer="0.3"/>
  <pageSetup paperSize="9"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732" r:id="rId4" name="Button 684">
              <controlPr defaultSize="0" print="0" autoFill="0" autoPict="0" macro="[0]!worksheet_recalculate">
                <anchor moveWithCells="1" sizeWithCells="1">
                  <from>
                    <xdr:col>20</xdr:col>
                    <xdr:colOff>50800</xdr:colOff>
                    <xdr:row>1</xdr:row>
                    <xdr:rowOff>152400</xdr:rowOff>
                  </from>
                  <to>
                    <xdr:col>23</xdr:col>
                    <xdr:colOff>177800</xdr:colOff>
                    <xdr:row>2</xdr:row>
                    <xdr:rowOff>336550</xdr:rowOff>
                  </to>
                </anchor>
              </controlPr>
            </control>
          </mc:Choice>
        </mc:AlternateContent>
        <mc:AlternateContent xmlns:mc="http://schemas.openxmlformats.org/markup-compatibility/2006">
          <mc:Choice Requires="x14">
            <control shapeId="2733" r:id="rId5" name="Button 685">
              <controlPr defaultSize="0" print="0" autoFill="0" autoPict="0" macro="[0]!past_enable_switch">
                <anchor moveWithCells="1" sizeWithCells="1">
                  <from>
                    <xdr:col>20</xdr:col>
                    <xdr:colOff>88900</xdr:colOff>
                    <xdr:row>3</xdr:row>
                    <xdr:rowOff>88900</xdr:rowOff>
                  </from>
                  <to>
                    <xdr:col>23</xdr:col>
                    <xdr:colOff>234950</xdr:colOff>
                    <xdr:row>3</xdr:row>
                    <xdr:rowOff>831850</xdr:rowOff>
                  </to>
                </anchor>
              </controlPr>
            </control>
          </mc:Choice>
        </mc:AlternateContent>
        <mc:AlternateContent xmlns:mc="http://schemas.openxmlformats.org/markup-compatibility/2006">
          <mc:Choice Requires="x14">
            <control shapeId="2737" r:id="rId6" name="Button 689">
              <controlPr defaultSize="0" print="0" autoFill="0" autoPict="0" macro="[0]!main_sheet_sort">
                <anchor moveWithCells="1" sizeWithCells="1">
                  <from>
                    <xdr:col>20</xdr:col>
                    <xdr:colOff>127000</xdr:colOff>
                    <xdr:row>5</xdr:row>
                    <xdr:rowOff>107950</xdr:rowOff>
                  </from>
                  <to>
                    <xdr:col>23</xdr:col>
                    <xdr:colOff>285750</xdr:colOff>
                    <xdr:row>5</xdr:row>
                    <xdr:rowOff>717550</xdr:rowOff>
                  </to>
                </anchor>
              </controlPr>
            </control>
          </mc:Choice>
        </mc:AlternateContent>
        <mc:AlternateContent xmlns:mc="http://schemas.openxmlformats.org/markup-compatibility/2006">
          <mc:Choice Requires="x14">
            <control shapeId="2747" r:id="rId7" name="Button 699">
              <controlPr defaultSize="0" print="0" autoFill="0" autoPict="0" macro="[0]!selction_move">
                <anchor moveWithCells="1" sizeWithCells="1">
                  <from>
                    <xdr:col>20</xdr:col>
                    <xdr:colOff>95250</xdr:colOff>
                    <xdr:row>4</xdr:row>
                    <xdr:rowOff>228600</xdr:rowOff>
                  </from>
                  <to>
                    <xdr:col>23</xdr:col>
                    <xdr:colOff>381000</xdr:colOff>
                    <xdr:row>4</xdr:row>
                    <xdr:rowOff>749300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9B8F8-A877-4524-9449-0731D2027624}">
  <sheetPr codeName="Sheet6"/>
  <dimension ref="A1:A14"/>
  <sheetViews>
    <sheetView zoomScaleNormal="100" workbookViewId="0">
      <selection activeCell="B3" sqref="B3"/>
    </sheetView>
  </sheetViews>
  <sheetFormatPr defaultRowHeight="18"/>
  <cols>
    <col min="2" max="2" width="40.6640625" customWidth="1"/>
  </cols>
  <sheetData>
    <row r="1" spans="1:1" ht="181" customHeight="1">
      <c r="A1">
        <v>0</v>
      </c>
    </row>
    <row r="2" spans="1:1" ht="157.15" customHeight="1">
      <c r="A2">
        <v>1</v>
      </c>
    </row>
    <row r="3" spans="1:1" ht="157.15" customHeight="1">
      <c r="A3">
        <v>2</v>
      </c>
    </row>
    <row r="4" spans="1:1" ht="157.25" customHeight="1">
      <c r="A4">
        <v>3</v>
      </c>
    </row>
    <row r="5" spans="1:1" ht="157.25" customHeight="1">
      <c r="A5">
        <v>4</v>
      </c>
    </row>
    <row r="6" spans="1:1" ht="157.25" customHeight="1">
      <c r="A6">
        <v>5</v>
      </c>
    </row>
    <row r="7" spans="1:1" ht="157.25" customHeight="1">
      <c r="A7">
        <v>6</v>
      </c>
    </row>
    <row r="8" spans="1:1" ht="157.25" customHeight="1">
      <c r="A8">
        <v>7</v>
      </c>
    </row>
    <row r="9" spans="1:1" ht="157.25" customHeight="1">
      <c r="A9">
        <v>8</v>
      </c>
    </row>
    <row r="10" spans="1:1" ht="157.25" customHeight="1">
      <c r="A10">
        <v>9</v>
      </c>
    </row>
    <row r="11" spans="1:1" ht="157.25" customHeight="1">
      <c r="A11">
        <v>10</v>
      </c>
    </row>
    <row r="12" spans="1:1" ht="157.25" customHeight="1">
      <c r="A12">
        <v>11</v>
      </c>
    </row>
    <row r="13" spans="1:1" ht="157.25" customHeight="1">
      <c r="A13">
        <v>12</v>
      </c>
    </row>
    <row r="14" spans="1:1" ht="157.25" customHeight="1">
      <c r="A14">
        <v>13</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FC2CB-F10B-4265-8116-13C62483283F}">
  <sheetPr codeName="Sheet7"/>
  <dimension ref="A1:G14"/>
  <sheetViews>
    <sheetView workbookViewId="0">
      <selection activeCell="D18" sqref="D18"/>
    </sheetView>
  </sheetViews>
  <sheetFormatPr defaultRowHeight="18"/>
  <cols>
    <col min="4" max="4" width="13.25" customWidth="1"/>
    <col min="5" max="5" width="57.08203125" customWidth="1"/>
  </cols>
  <sheetData>
    <row r="1" spans="1:7">
      <c r="A1" t="s">
        <v>146</v>
      </c>
      <c r="B1" t="s">
        <v>147</v>
      </c>
      <c r="C1" t="s">
        <v>148</v>
      </c>
      <c r="D1" t="s">
        <v>149</v>
      </c>
      <c r="E1" t="s">
        <v>150</v>
      </c>
      <c r="F1" t="s">
        <v>151</v>
      </c>
    </row>
    <row r="2" spans="1:7">
      <c r="A2">
        <v>1</v>
      </c>
      <c r="B2" t="s">
        <v>172</v>
      </c>
      <c r="C2" t="s">
        <v>155</v>
      </c>
      <c r="D2" t="s">
        <v>173</v>
      </c>
      <c r="E2" t="s">
        <v>164</v>
      </c>
      <c r="F2" t="s">
        <v>198</v>
      </c>
    </row>
    <row r="3" spans="1:7">
      <c r="A3">
        <v>2</v>
      </c>
      <c r="B3" t="s">
        <v>174</v>
      </c>
      <c r="C3" t="s">
        <v>155</v>
      </c>
      <c r="D3" t="s">
        <v>175</v>
      </c>
      <c r="E3" t="s">
        <v>162</v>
      </c>
      <c r="F3" t="s">
        <v>199</v>
      </c>
    </row>
    <row r="4" spans="1:7">
      <c r="A4">
        <v>3</v>
      </c>
      <c r="B4" t="s">
        <v>156</v>
      </c>
      <c r="C4" t="s">
        <v>176</v>
      </c>
      <c r="D4" t="s">
        <v>177</v>
      </c>
      <c r="E4" t="s">
        <v>163</v>
      </c>
      <c r="F4" t="s">
        <v>200</v>
      </c>
    </row>
    <row r="5" spans="1:7">
      <c r="A5">
        <v>4</v>
      </c>
      <c r="B5" t="s">
        <v>152</v>
      </c>
      <c r="C5" t="s">
        <v>160</v>
      </c>
      <c r="D5" t="s">
        <v>178</v>
      </c>
      <c r="E5" t="s">
        <v>164</v>
      </c>
      <c r="F5" t="s">
        <v>201</v>
      </c>
    </row>
    <row r="6" spans="1:7">
      <c r="A6">
        <v>5</v>
      </c>
      <c r="B6" t="s">
        <v>179</v>
      </c>
      <c r="C6" t="s">
        <v>155</v>
      </c>
      <c r="D6" t="s">
        <v>180</v>
      </c>
      <c r="E6" t="s">
        <v>162</v>
      </c>
      <c r="F6" t="s">
        <v>202</v>
      </c>
    </row>
    <row r="7" spans="1:7">
      <c r="A7">
        <v>6</v>
      </c>
      <c r="B7" t="s">
        <v>181</v>
      </c>
      <c r="C7" t="s">
        <v>161</v>
      </c>
      <c r="D7" t="s">
        <v>182</v>
      </c>
      <c r="E7" t="s">
        <v>164</v>
      </c>
      <c r="F7" t="s">
        <v>203</v>
      </c>
    </row>
    <row r="8" spans="1:7">
      <c r="A8">
        <v>7</v>
      </c>
      <c r="B8" t="s">
        <v>183</v>
      </c>
      <c r="C8" t="s">
        <v>183</v>
      </c>
      <c r="D8" t="s">
        <v>184</v>
      </c>
      <c r="E8" t="s">
        <v>162</v>
      </c>
      <c r="F8" t="s">
        <v>204</v>
      </c>
    </row>
    <row r="9" spans="1:7">
      <c r="A9">
        <v>8</v>
      </c>
      <c r="B9" t="s">
        <v>185</v>
      </c>
      <c r="C9" t="s">
        <v>153</v>
      </c>
      <c r="D9" t="s">
        <v>186</v>
      </c>
      <c r="E9" t="s">
        <v>162</v>
      </c>
      <c r="F9" t="s">
        <v>205</v>
      </c>
      <c r="G9" t="s">
        <v>154</v>
      </c>
    </row>
    <row r="10" spans="1:7">
      <c r="A10">
        <v>9</v>
      </c>
      <c r="B10" t="s">
        <v>187</v>
      </c>
      <c r="C10" t="s">
        <v>153</v>
      </c>
      <c r="D10" t="s">
        <v>188</v>
      </c>
      <c r="E10" t="s">
        <v>162</v>
      </c>
      <c r="F10" t="s">
        <v>206</v>
      </c>
    </row>
    <row r="11" spans="1:7">
      <c r="A11">
        <v>10</v>
      </c>
      <c r="B11" t="s">
        <v>189</v>
      </c>
      <c r="C11" t="s">
        <v>183</v>
      </c>
      <c r="D11" t="s">
        <v>190</v>
      </c>
      <c r="E11" t="s">
        <v>163</v>
      </c>
      <c r="F11" t="s">
        <v>207</v>
      </c>
    </row>
    <row r="12" spans="1:7">
      <c r="A12">
        <v>11</v>
      </c>
      <c r="B12" t="s">
        <v>191</v>
      </c>
      <c r="C12" t="s">
        <v>153</v>
      </c>
      <c r="D12" t="s">
        <v>192</v>
      </c>
      <c r="E12" t="s">
        <v>164</v>
      </c>
      <c r="F12" t="s">
        <v>208</v>
      </c>
    </row>
    <row r="13" spans="1:7">
      <c r="A13">
        <v>12</v>
      </c>
      <c r="B13" t="s">
        <v>193</v>
      </c>
      <c r="C13" t="s">
        <v>194</v>
      </c>
      <c r="D13" t="s">
        <v>195</v>
      </c>
      <c r="E13" t="s">
        <v>162</v>
      </c>
      <c r="F13" t="s">
        <v>209</v>
      </c>
    </row>
    <row r="14" spans="1:7">
      <c r="A14">
        <v>13</v>
      </c>
      <c r="B14" t="s">
        <v>193</v>
      </c>
      <c r="C14" t="s">
        <v>196</v>
      </c>
      <c r="D14" t="s">
        <v>197</v>
      </c>
      <c r="E14" t="s">
        <v>163</v>
      </c>
      <c r="F14" t="s">
        <v>210</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profile_update">
                <anchor moveWithCells="1" sizeWithCells="1">
                  <from>
                    <xdr:col>8</xdr:col>
                    <xdr:colOff>381000</xdr:colOff>
                    <xdr:row>2</xdr:row>
                    <xdr:rowOff>63500</xdr:rowOff>
                  </from>
                  <to>
                    <xdr:col>11</xdr:col>
                    <xdr:colOff>666750</xdr:colOff>
                    <xdr:row>4</xdr:row>
                    <xdr:rowOff>101600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I59"/>
  <sheetViews>
    <sheetView workbookViewId="0">
      <pane ySplit="1" topLeftCell="A2" activePane="bottomLeft" state="frozen"/>
      <selection pane="bottomLeft" activeCell="A51" sqref="A51"/>
    </sheetView>
  </sheetViews>
  <sheetFormatPr defaultColWidth="8.83203125" defaultRowHeight="18"/>
  <cols>
    <col min="1" max="1" width="14.33203125" customWidth="1"/>
    <col min="4" max="4" width="12.58203125" customWidth="1"/>
    <col min="6" max="6" width="19.58203125" style="2" customWidth="1"/>
    <col min="7" max="16" width="10.58203125" style="2" customWidth="1"/>
    <col min="17" max="35" width="8.83203125" style="2"/>
  </cols>
  <sheetData>
    <row r="1" spans="1:15">
      <c r="A1" t="s">
        <v>0</v>
      </c>
      <c r="B1" t="s">
        <v>1</v>
      </c>
      <c r="C1" t="s">
        <v>12</v>
      </c>
      <c r="D1" t="s">
        <v>22</v>
      </c>
      <c r="E1" t="s">
        <v>11</v>
      </c>
      <c r="F1" s="2" t="s">
        <v>2</v>
      </c>
      <c r="G1" s="2" t="s">
        <v>3</v>
      </c>
      <c r="H1" s="2" t="s">
        <v>21</v>
      </c>
      <c r="I1" s="2" t="s">
        <v>4</v>
      </c>
      <c r="J1" s="2" t="s">
        <v>5</v>
      </c>
      <c r="K1" s="2" t="s">
        <v>6</v>
      </c>
      <c r="L1" s="2" t="s">
        <v>7</v>
      </c>
      <c r="M1" s="2" t="s">
        <v>8</v>
      </c>
      <c r="N1" s="2" t="s">
        <v>9</v>
      </c>
      <c r="O1" s="2" t="s">
        <v>10</v>
      </c>
    </row>
    <row r="2" spans="1:15">
      <c r="A2">
        <v>20190714</v>
      </c>
      <c r="B2">
        <v>2</v>
      </c>
      <c r="C2">
        <v>2</v>
      </c>
      <c r="D2">
        <v>2019071422</v>
      </c>
      <c r="E2">
        <v>0</v>
      </c>
      <c r="F2" s="2">
        <v>192508005</v>
      </c>
      <c r="G2" s="2">
        <v>192508004</v>
      </c>
    </row>
    <row r="3" spans="1:15">
      <c r="A3">
        <v>20190715</v>
      </c>
      <c r="B3">
        <v>2</v>
      </c>
      <c r="C3">
        <v>1</v>
      </c>
      <c r="D3">
        <v>2019071521</v>
      </c>
      <c r="E3">
        <v>0</v>
      </c>
      <c r="F3" s="2">
        <v>182505003</v>
      </c>
    </row>
    <row r="4" spans="1:15">
      <c r="A4">
        <v>20190715</v>
      </c>
      <c r="B4">
        <v>2</v>
      </c>
      <c r="C4">
        <v>4</v>
      </c>
      <c r="D4">
        <v>2019071524</v>
      </c>
      <c r="E4">
        <v>0</v>
      </c>
      <c r="F4" s="2">
        <v>182514002</v>
      </c>
    </row>
    <row r="5" spans="1:15">
      <c r="A5">
        <v>20190715</v>
      </c>
      <c r="B5">
        <v>2</v>
      </c>
      <c r="C5">
        <v>3</v>
      </c>
      <c r="D5">
        <v>2019071525</v>
      </c>
      <c r="E5">
        <v>0</v>
      </c>
      <c r="F5" s="2">
        <v>172502005</v>
      </c>
    </row>
    <row r="6" spans="1:15">
      <c r="A6">
        <v>20190715</v>
      </c>
      <c r="B6">
        <v>3</v>
      </c>
      <c r="C6">
        <v>3</v>
      </c>
      <c r="D6">
        <v>2019071533</v>
      </c>
      <c r="E6">
        <v>0</v>
      </c>
      <c r="F6" s="2">
        <v>192505003</v>
      </c>
    </row>
    <row r="7" spans="1:15">
      <c r="A7">
        <v>20190715</v>
      </c>
      <c r="B7">
        <v>3</v>
      </c>
      <c r="C7">
        <v>5</v>
      </c>
      <c r="D7">
        <v>2019071535</v>
      </c>
      <c r="E7">
        <v>0</v>
      </c>
      <c r="F7" s="2">
        <v>172502005</v>
      </c>
    </row>
    <row r="8" spans="1:15">
      <c r="A8">
        <v>20190715</v>
      </c>
      <c r="B8">
        <v>4</v>
      </c>
      <c r="C8">
        <v>3</v>
      </c>
      <c r="D8">
        <v>2019071543</v>
      </c>
      <c r="E8">
        <v>0</v>
      </c>
      <c r="F8" s="2">
        <v>192505003</v>
      </c>
    </row>
    <row r="9" spans="1:15">
      <c r="A9">
        <v>20190715</v>
      </c>
      <c r="B9">
        <v>4</v>
      </c>
      <c r="C9">
        <v>4</v>
      </c>
      <c r="D9">
        <v>2019071544</v>
      </c>
      <c r="E9">
        <v>0</v>
      </c>
      <c r="F9" s="2">
        <v>192503008</v>
      </c>
    </row>
    <row r="10" spans="1:15">
      <c r="A10">
        <v>20190715</v>
      </c>
      <c r="B10">
        <v>6</v>
      </c>
      <c r="C10">
        <v>1</v>
      </c>
      <c r="D10">
        <v>2019071561</v>
      </c>
      <c r="E10">
        <v>0</v>
      </c>
      <c r="F10" s="2">
        <v>192506002</v>
      </c>
    </row>
    <row r="11" spans="1:15">
      <c r="A11">
        <v>20190715</v>
      </c>
      <c r="B11">
        <v>6</v>
      </c>
      <c r="C11">
        <v>3</v>
      </c>
      <c r="D11">
        <v>2019071563</v>
      </c>
      <c r="E11">
        <v>0</v>
      </c>
      <c r="F11" s="2">
        <v>182507003</v>
      </c>
    </row>
    <row r="12" spans="1:15">
      <c r="A12">
        <v>20190715</v>
      </c>
      <c r="B12">
        <v>7</v>
      </c>
      <c r="C12">
        <v>1</v>
      </c>
      <c r="D12">
        <v>2019071571</v>
      </c>
      <c r="E12">
        <v>0</v>
      </c>
      <c r="F12" s="2">
        <v>192505003</v>
      </c>
    </row>
    <row r="13" spans="1:15">
      <c r="A13">
        <v>20190716</v>
      </c>
      <c r="B13">
        <v>2</v>
      </c>
      <c r="C13">
        <v>2</v>
      </c>
      <c r="D13">
        <v>2019071622</v>
      </c>
      <c r="E13">
        <v>0</v>
      </c>
      <c r="F13" s="2">
        <v>182510012</v>
      </c>
    </row>
    <row r="14" spans="1:15">
      <c r="A14">
        <v>20190716</v>
      </c>
      <c r="B14">
        <v>3</v>
      </c>
      <c r="C14">
        <v>1</v>
      </c>
      <c r="D14">
        <v>2019071631</v>
      </c>
      <c r="E14">
        <v>0</v>
      </c>
      <c r="F14" s="2">
        <v>182510012</v>
      </c>
    </row>
    <row r="15" spans="1:15">
      <c r="A15">
        <v>20190716</v>
      </c>
      <c r="B15">
        <v>3</v>
      </c>
      <c r="C15">
        <v>2</v>
      </c>
      <c r="D15">
        <v>2019071632</v>
      </c>
      <c r="E15">
        <v>0</v>
      </c>
      <c r="F15" s="2">
        <v>182510012</v>
      </c>
    </row>
    <row r="16" spans="1:15">
      <c r="A16">
        <v>20190716</v>
      </c>
      <c r="B16">
        <v>3</v>
      </c>
      <c r="C16">
        <v>4</v>
      </c>
      <c r="D16">
        <v>2019071634</v>
      </c>
      <c r="E16">
        <v>0</v>
      </c>
      <c r="F16" s="2">
        <v>152507189</v>
      </c>
    </row>
    <row r="17" spans="1:7">
      <c r="A17">
        <v>20190716</v>
      </c>
      <c r="B17">
        <v>4</v>
      </c>
      <c r="C17">
        <v>1</v>
      </c>
      <c r="D17">
        <v>2019071641</v>
      </c>
      <c r="E17">
        <v>0</v>
      </c>
      <c r="F17" s="2">
        <v>172516037</v>
      </c>
    </row>
    <row r="18" spans="1:7">
      <c r="A18">
        <v>20190717</v>
      </c>
      <c r="B18">
        <v>1</v>
      </c>
      <c r="C18">
        <v>1</v>
      </c>
      <c r="D18">
        <v>2019071711</v>
      </c>
      <c r="E18">
        <v>0</v>
      </c>
      <c r="F18" s="2">
        <v>162507203</v>
      </c>
    </row>
    <row r="19" spans="1:7">
      <c r="A19">
        <v>20190717</v>
      </c>
      <c r="B19">
        <v>2</v>
      </c>
      <c r="C19">
        <v>1</v>
      </c>
      <c r="D19">
        <v>2019071721</v>
      </c>
      <c r="E19">
        <v>0</v>
      </c>
      <c r="F19" s="2">
        <v>162507203</v>
      </c>
    </row>
    <row r="20" spans="1:7">
      <c r="A20">
        <v>20190717</v>
      </c>
      <c r="B20">
        <v>2</v>
      </c>
      <c r="C20">
        <v>2</v>
      </c>
      <c r="D20">
        <v>2019071722</v>
      </c>
      <c r="E20">
        <v>0</v>
      </c>
      <c r="F20" s="2">
        <v>182514070</v>
      </c>
    </row>
    <row r="21" spans="1:7">
      <c r="A21">
        <v>20190717</v>
      </c>
      <c r="B21">
        <v>2</v>
      </c>
      <c r="C21">
        <v>4</v>
      </c>
      <c r="D21">
        <v>2019071724</v>
      </c>
      <c r="E21">
        <v>0</v>
      </c>
      <c r="F21" s="2">
        <v>192505003</v>
      </c>
    </row>
    <row r="22" spans="1:7">
      <c r="A22">
        <v>20190717</v>
      </c>
      <c r="B22">
        <v>3</v>
      </c>
      <c r="C22">
        <v>2</v>
      </c>
      <c r="D22">
        <v>2019071732</v>
      </c>
      <c r="E22">
        <v>0</v>
      </c>
      <c r="F22" s="2">
        <v>182514058</v>
      </c>
    </row>
    <row r="23" spans="1:7">
      <c r="A23">
        <v>20190717</v>
      </c>
      <c r="B23">
        <v>4</v>
      </c>
      <c r="C23">
        <v>1</v>
      </c>
      <c r="D23">
        <v>2019071741</v>
      </c>
      <c r="E23">
        <v>0</v>
      </c>
      <c r="F23" s="2">
        <v>162507203</v>
      </c>
    </row>
    <row r="24" spans="1:7">
      <c r="A24">
        <v>20190717</v>
      </c>
      <c r="B24">
        <v>5</v>
      </c>
      <c r="C24">
        <v>4</v>
      </c>
      <c r="D24">
        <v>2019071754</v>
      </c>
      <c r="E24">
        <v>0</v>
      </c>
      <c r="F24" s="2">
        <v>192505003</v>
      </c>
    </row>
    <row r="25" spans="1:7">
      <c r="A25">
        <v>20190725</v>
      </c>
      <c r="B25">
        <v>2</v>
      </c>
      <c r="C25">
        <v>1</v>
      </c>
      <c r="D25">
        <v>2019072521</v>
      </c>
      <c r="E25">
        <v>0</v>
      </c>
      <c r="F25" s="2">
        <v>192202015</v>
      </c>
      <c r="G25" s="2">
        <v>192202016</v>
      </c>
    </row>
    <row r="26" spans="1:7">
      <c r="A26">
        <v>20190725</v>
      </c>
      <c r="B26">
        <v>3</v>
      </c>
      <c r="C26">
        <v>1</v>
      </c>
      <c r="D26">
        <v>2019072531</v>
      </c>
      <c r="E26">
        <v>0</v>
      </c>
      <c r="F26" s="2">
        <v>192202015</v>
      </c>
      <c r="G26" s="2">
        <v>192202016</v>
      </c>
    </row>
    <row r="27" spans="1:7">
      <c r="A27">
        <v>20190725</v>
      </c>
      <c r="B27">
        <v>3</v>
      </c>
      <c r="C27">
        <v>3</v>
      </c>
      <c r="D27">
        <v>2019072533</v>
      </c>
      <c r="E27">
        <v>0</v>
      </c>
      <c r="F27" s="2">
        <v>192202015</v>
      </c>
    </row>
    <row r="28" spans="1:7">
      <c r="A28">
        <v>20190725</v>
      </c>
      <c r="B28">
        <v>4</v>
      </c>
      <c r="C28">
        <v>2</v>
      </c>
      <c r="D28">
        <v>2019072542</v>
      </c>
      <c r="E28">
        <v>0</v>
      </c>
      <c r="F28" s="2">
        <v>192501001</v>
      </c>
    </row>
    <row r="29" spans="1:7">
      <c r="A29">
        <v>20190725</v>
      </c>
      <c r="B29">
        <v>7</v>
      </c>
      <c r="C29">
        <v>1</v>
      </c>
      <c r="D29">
        <v>2019072571</v>
      </c>
      <c r="E29">
        <v>0</v>
      </c>
      <c r="F29" s="2">
        <v>192505001</v>
      </c>
    </row>
    <row r="30" spans="1:7">
      <c r="A30">
        <v>20190725</v>
      </c>
      <c r="B30">
        <v>7</v>
      </c>
      <c r="C30">
        <v>2</v>
      </c>
      <c r="D30">
        <v>2019072572</v>
      </c>
      <c r="E30">
        <v>0</v>
      </c>
      <c r="F30" s="2">
        <v>192501001</v>
      </c>
    </row>
    <row r="31" spans="1:7">
      <c r="A31">
        <v>20190725</v>
      </c>
      <c r="B31">
        <v>7</v>
      </c>
      <c r="C31">
        <v>3</v>
      </c>
      <c r="D31">
        <v>2019072573</v>
      </c>
      <c r="E31">
        <v>0</v>
      </c>
      <c r="F31" s="2">
        <v>192501001</v>
      </c>
      <c r="G31" s="2">
        <v>192502004</v>
      </c>
    </row>
    <row r="32" spans="1:7">
      <c r="A32">
        <v>20190725</v>
      </c>
      <c r="B32">
        <v>7</v>
      </c>
      <c r="C32">
        <v>5</v>
      </c>
      <c r="D32">
        <v>2019072575</v>
      </c>
      <c r="E32">
        <v>0</v>
      </c>
      <c r="F32" s="2">
        <v>192508002</v>
      </c>
    </row>
    <row r="33" spans="1:7">
      <c r="A33">
        <v>20190726</v>
      </c>
      <c r="B33">
        <v>4</v>
      </c>
      <c r="C33">
        <v>1</v>
      </c>
      <c r="D33">
        <v>2019072641</v>
      </c>
      <c r="E33">
        <v>0</v>
      </c>
      <c r="F33" s="2">
        <v>192202015</v>
      </c>
      <c r="G33" s="2">
        <v>192501001</v>
      </c>
    </row>
    <row r="34" spans="1:7">
      <c r="A34">
        <v>20190726</v>
      </c>
      <c r="B34">
        <v>7</v>
      </c>
      <c r="C34">
        <v>1</v>
      </c>
      <c r="D34">
        <v>2019072671</v>
      </c>
      <c r="E34">
        <v>0</v>
      </c>
      <c r="F34" s="2">
        <v>192202015</v>
      </c>
    </row>
    <row r="35" spans="1:7">
      <c r="A35">
        <v>20190727</v>
      </c>
      <c r="B35">
        <v>5</v>
      </c>
      <c r="C35">
        <v>1</v>
      </c>
      <c r="D35">
        <v>2019072751</v>
      </c>
      <c r="E35">
        <v>0</v>
      </c>
      <c r="F35" s="2">
        <v>192501001</v>
      </c>
    </row>
    <row r="36" spans="1:7">
      <c r="A36">
        <v>20190727</v>
      </c>
      <c r="B36">
        <v>5</v>
      </c>
      <c r="C36">
        <v>2</v>
      </c>
      <c r="D36">
        <v>2019072752</v>
      </c>
      <c r="E36">
        <v>0</v>
      </c>
      <c r="F36" s="2">
        <v>192501001</v>
      </c>
    </row>
    <row r="37" spans="1:7">
      <c r="A37">
        <v>20190727</v>
      </c>
      <c r="B37">
        <v>7</v>
      </c>
      <c r="C37">
        <v>1</v>
      </c>
      <c r="D37">
        <v>2019072771</v>
      </c>
      <c r="E37">
        <v>0</v>
      </c>
      <c r="F37" s="2">
        <v>192501002</v>
      </c>
      <c r="G37" s="2">
        <v>182501001</v>
      </c>
    </row>
    <row r="38" spans="1:7">
      <c r="A38">
        <v>20190728</v>
      </c>
      <c r="B38">
        <v>5</v>
      </c>
      <c r="C38">
        <v>2</v>
      </c>
      <c r="D38">
        <v>2019072852</v>
      </c>
      <c r="E38">
        <v>1</v>
      </c>
      <c r="F38" s="2">
        <v>192501001</v>
      </c>
    </row>
    <row r="39" spans="1:7">
      <c r="A39">
        <v>20190728</v>
      </c>
      <c r="B39">
        <v>6</v>
      </c>
      <c r="C39">
        <v>2</v>
      </c>
      <c r="D39">
        <v>2019072862</v>
      </c>
      <c r="E39">
        <v>1</v>
      </c>
      <c r="F39" s="2">
        <v>192501001</v>
      </c>
    </row>
    <row r="40" spans="1:7">
      <c r="A40">
        <v>20190729</v>
      </c>
      <c r="B40">
        <v>2</v>
      </c>
      <c r="C40">
        <v>1</v>
      </c>
      <c r="D40">
        <v>2019072921</v>
      </c>
      <c r="E40">
        <v>0</v>
      </c>
      <c r="F40" s="2">
        <v>192501001</v>
      </c>
    </row>
    <row r="41" spans="1:7">
      <c r="A41">
        <v>20190729</v>
      </c>
      <c r="B41">
        <v>2</v>
      </c>
      <c r="C41">
        <v>3</v>
      </c>
      <c r="D41">
        <v>2019072923</v>
      </c>
      <c r="E41">
        <v>0</v>
      </c>
      <c r="F41" s="2">
        <v>192501001</v>
      </c>
    </row>
    <row r="42" spans="1:7">
      <c r="A42">
        <v>20190729</v>
      </c>
      <c r="B42">
        <v>5</v>
      </c>
      <c r="C42">
        <v>1</v>
      </c>
      <c r="D42">
        <v>2019072951</v>
      </c>
      <c r="E42">
        <v>1</v>
      </c>
      <c r="F42" s="2">
        <v>192501001</v>
      </c>
    </row>
    <row r="43" spans="1:7">
      <c r="A43">
        <v>20190729</v>
      </c>
      <c r="B43">
        <v>5</v>
      </c>
      <c r="C43">
        <v>2</v>
      </c>
      <c r="D43">
        <v>2019072952</v>
      </c>
      <c r="E43">
        <v>0</v>
      </c>
      <c r="F43" s="2">
        <v>192501001</v>
      </c>
    </row>
    <row r="44" spans="1:7">
      <c r="A44">
        <v>20190729</v>
      </c>
      <c r="B44">
        <v>6</v>
      </c>
      <c r="C44">
        <v>2</v>
      </c>
      <c r="D44">
        <v>2019072962</v>
      </c>
      <c r="E44">
        <v>0</v>
      </c>
      <c r="F44" s="2">
        <v>192501001</v>
      </c>
    </row>
    <row r="45" spans="1:7">
      <c r="A45">
        <v>20190802</v>
      </c>
      <c r="B45">
        <v>7</v>
      </c>
      <c r="C45">
        <v>4</v>
      </c>
      <c r="D45">
        <v>2019080274</v>
      </c>
      <c r="E45">
        <v>0</v>
      </c>
      <c r="F45" s="2">
        <v>152517043</v>
      </c>
    </row>
    <row r="46" spans="1:7">
      <c r="A46">
        <v>20190802</v>
      </c>
      <c r="B46">
        <v>7</v>
      </c>
      <c r="C46">
        <v>5</v>
      </c>
      <c r="D46">
        <v>2019080275</v>
      </c>
      <c r="E46">
        <v>0</v>
      </c>
      <c r="F46" s="2">
        <v>152517043</v>
      </c>
    </row>
    <row r="47" spans="1:7">
      <c r="A47">
        <v>20190805</v>
      </c>
      <c r="B47">
        <v>6</v>
      </c>
      <c r="C47">
        <v>3</v>
      </c>
      <c r="D47">
        <v>2019080563</v>
      </c>
      <c r="E47">
        <v>0</v>
      </c>
      <c r="F47" s="2">
        <v>152517043</v>
      </c>
    </row>
    <row r="48" spans="1:7">
      <c r="A48">
        <v>20190805</v>
      </c>
      <c r="B48">
        <v>7</v>
      </c>
      <c r="C48">
        <v>3</v>
      </c>
      <c r="D48">
        <v>2019080573</v>
      </c>
      <c r="E48">
        <v>0</v>
      </c>
      <c r="F48" s="2">
        <v>152517043</v>
      </c>
    </row>
    <row r="49" spans="1:35">
      <c r="A49">
        <v>20190820</v>
      </c>
      <c r="B49">
        <v>7</v>
      </c>
      <c r="C49">
        <v>2</v>
      </c>
      <c r="D49">
        <v>2019082072</v>
      </c>
      <c r="E49">
        <v>0</v>
      </c>
      <c r="F49" s="2">
        <v>152517043</v>
      </c>
    </row>
    <row r="50" spans="1:35">
      <c r="A50">
        <v>20190820</v>
      </c>
      <c r="B50">
        <v>7</v>
      </c>
      <c r="C50">
        <v>3</v>
      </c>
      <c r="D50">
        <v>2019082073</v>
      </c>
      <c r="E50">
        <v>0</v>
      </c>
      <c r="F50" s="2">
        <v>152517043</v>
      </c>
    </row>
    <row r="51" spans="1:35">
      <c r="A51">
        <v>20190919</v>
      </c>
      <c r="B51">
        <v>5</v>
      </c>
      <c r="C51">
        <v>1</v>
      </c>
      <c r="D51">
        <v>2019091951</v>
      </c>
      <c r="E51">
        <v>0</v>
      </c>
      <c r="F51" s="2">
        <v>152517043</v>
      </c>
    </row>
    <row r="52" spans="1:35">
      <c r="A52">
        <v>20190919</v>
      </c>
      <c r="B52">
        <v>5</v>
      </c>
      <c r="C52">
        <v>2</v>
      </c>
      <c r="D52">
        <v>2019091952</v>
      </c>
      <c r="E52">
        <v>0</v>
      </c>
      <c r="F52" s="2">
        <v>342599567</v>
      </c>
    </row>
    <row r="53" spans="1:35">
      <c r="A53">
        <v>20190919</v>
      </c>
      <c r="B53">
        <v>6</v>
      </c>
      <c r="C53">
        <v>4</v>
      </c>
      <c r="D53">
        <v>2019091964</v>
      </c>
      <c r="E53">
        <v>0</v>
      </c>
      <c r="F53" s="2">
        <v>152517043</v>
      </c>
    </row>
    <row r="54" spans="1:35" s="26" customFormat="1">
      <c r="A54" s="26">
        <v>20190920</v>
      </c>
      <c r="B54" s="26">
        <v>2</v>
      </c>
      <c r="C54" s="26">
        <v>1</v>
      </c>
      <c r="D54" s="26">
        <v>2019092021</v>
      </c>
      <c r="E54" s="26">
        <v>0</v>
      </c>
      <c r="F54" s="2">
        <v>342599567</v>
      </c>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row>
    <row r="55" spans="1:35" s="26" customFormat="1">
      <c r="A55" s="26">
        <v>20190920</v>
      </c>
      <c r="B55" s="26">
        <v>3</v>
      </c>
      <c r="C55" s="26">
        <v>3</v>
      </c>
      <c r="D55" s="26">
        <v>2019092033</v>
      </c>
      <c r="E55" s="26">
        <v>0</v>
      </c>
      <c r="F55" s="2">
        <v>342599567</v>
      </c>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row>
    <row r="56" spans="1:35" s="29" customFormat="1">
      <c r="A56" s="29">
        <v>20190920</v>
      </c>
      <c r="B56" s="29">
        <v>4</v>
      </c>
      <c r="C56" s="29">
        <v>3</v>
      </c>
      <c r="D56" s="29">
        <v>2019092043</v>
      </c>
      <c r="E56" s="29">
        <v>0</v>
      </c>
      <c r="F56" s="2">
        <v>342599567</v>
      </c>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row>
    <row r="57" spans="1:35" s="29" customFormat="1">
      <c r="A57" s="29">
        <v>20190920</v>
      </c>
      <c r="B57" s="29">
        <v>5</v>
      </c>
      <c r="C57" s="29">
        <v>3</v>
      </c>
      <c r="D57" s="29">
        <v>2019092053</v>
      </c>
      <c r="E57" s="29">
        <v>0</v>
      </c>
      <c r="F57" s="2">
        <v>342599567</v>
      </c>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row>
    <row r="58" spans="1:35" s="26" customFormat="1">
      <c r="A58" s="26">
        <v>20190920</v>
      </c>
      <c r="B58" s="26">
        <v>6</v>
      </c>
      <c r="C58" s="26">
        <v>2</v>
      </c>
      <c r="D58" s="26">
        <v>2019092062</v>
      </c>
      <c r="E58" s="26">
        <v>0</v>
      </c>
      <c r="F58" s="2">
        <v>282599345</v>
      </c>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row>
    <row r="59" spans="1:35" s="29" customFormat="1">
      <c r="A59" s="29">
        <v>20190920</v>
      </c>
      <c r="B59" s="29">
        <v>7</v>
      </c>
      <c r="C59" s="29">
        <v>2</v>
      </c>
      <c r="D59" s="29">
        <v>2019092072</v>
      </c>
      <c r="E59" s="29">
        <v>0</v>
      </c>
      <c r="F59" s="2">
        <v>342599567</v>
      </c>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row>
  </sheetData>
  <sortState xmlns:xlrd2="http://schemas.microsoft.com/office/spreadsheetml/2017/richdata2" ref="A2:F53">
    <sortCondition ref="D1"/>
  </sortState>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4"/>
  <sheetViews>
    <sheetView workbookViewId="0">
      <selection activeCell="A22" sqref="A22"/>
    </sheetView>
  </sheetViews>
  <sheetFormatPr defaultRowHeight="18"/>
  <cols>
    <col min="1" max="1" width="14.33203125" customWidth="1"/>
    <col min="2" max="2" width="12.58203125" customWidth="1"/>
    <col min="3" max="3" width="11.83203125" customWidth="1"/>
    <col min="4" max="4" width="12.25" customWidth="1"/>
    <col min="5" max="6" width="11.5" customWidth="1"/>
    <col min="7" max="8" width="12.08203125" customWidth="1"/>
  </cols>
  <sheetData>
    <row r="1" spans="1:2">
      <c r="A1">
        <v>20190920</v>
      </c>
      <c r="B1">
        <v>20190920</v>
      </c>
    </row>
    <row r="2" spans="1:2" s="26" customFormat="1">
      <c r="A2" s="26">
        <v>282599345</v>
      </c>
      <c r="B2" s="26">
        <v>1</v>
      </c>
    </row>
    <row r="3" spans="1:2" s="26" customFormat="1">
      <c r="A3" s="26">
        <v>342599567</v>
      </c>
      <c r="B3" s="26">
        <v>5</v>
      </c>
    </row>
    <row r="4" spans="1:2" s="26" customFormat="1">
      <c r="A4" s="26">
        <v>452599678</v>
      </c>
      <c r="B4" s="26">
        <v>1</v>
      </c>
    </row>
  </sheetData>
  <phoneticPr fontId="1"/>
  <pageMargins left="0.7" right="0.7" top="0.75" bottom="0.75" header="0.3" footer="0.3"/>
  <pageSetup paperSize="9" orientation="portrait" horizontalDpi="12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B6D14-1A5A-4DB9-8D4E-AFBD06B5B845}">
  <sheetPr codeName="Sheet2"/>
  <dimension ref="A1:R22"/>
  <sheetViews>
    <sheetView zoomScaleNormal="100" workbookViewId="0">
      <selection activeCell="R4" sqref="R4"/>
    </sheetView>
  </sheetViews>
  <sheetFormatPr defaultColWidth="8.83203125" defaultRowHeight="18"/>
  <cols>
    <col min="1" max="1" width="10.4140625" customWidth="1"/>
    <col min="3" max="3" width="12.58203125" bestFit="1" customWidth="1"/>
  </cols>
  <sheetData>
    <row r="1" spans="1:18">
      <c r="A1" s="11"/>
      <c r="B1" t="s">
        <v>107</v>
      </c>
      <c r="E1" t="s">
        <v>108</v>
      </c>
      <c r="H1" t="s">
        <v>109</v>
      </c>
    </row>
    <row r="2" spans="1:18">
      <c r="B2" t="s">
        <v>110</v>
      </c>
      <c r="D2" t="s">
        <v>111</v>
      </c>
      <c r="E2" t="s">
        <v>110</v>
      </c>
      <c r="G2" t="s">
        <v>112</v>
      </c>
      <c r="H2" t="s">
        <v>110</v>
      </c>
      <c r="J2" t="s">
        <v>112</v>
      </c>
    </row>
    <row r="3" spans="1:18">
      <c r="B3">
        <v>1</v>
      </c>
      <c r="C3" t="s">
        <v>113</v>
      </c>
      <c r="D3">
        <v>2501</v>
      </c>
      <c r="E3">
        <v>1</v>
      </c>
      <c r="F3" t="s">
        <v>113</v>
      </c>
      <c r="G3">
        <v>2001</v>
      </c>
      <c r="H3" s="12">
        <v>1</v>
      </c>
      <c r="I3" t="s">
        <v>113</v>
      </c>
      <c r="J3" s="12">
        <v>2011</v>
      </c>
      <c r="P3" t="s">
        <v>139</v>
      </c>
    </row>
    <row r="4" spans="1:18">
      <c r="B4">
        <v>2</v>
      </c>
      <c r="C4" t="s">
        <v>114</v>
      </c>
      <c r="D4">
        <v>2502</v>
      </c>
      <c r="E4">
        <v>2</v>
      </c>
      <c r="F4" t="s">
        <v>114</v>
      </c>
      <c r="G4">
        <v>2002</v>
      </c>
      <c r="H4" s="12">
        <v>2</v>
      </c>
      <c r="I4" t="s">
        <v>115</v>
      </c>
      <c r="J4" s="12">
        <v>2012</v>
      </c>
      <c r="P4" t="s">
        <v>140</v>
      </c>
      <c r="Q4">
        <f>23+5+20*7</f>
        <v>168</v>
      </c>
      <c r="R4">
        <f>5.5+4.2+18*7+5.2+22*2</f>
        <v>184.89999999999998</v>
      </c>
    </row>
    <row r="5" spans="1:18">
      <c r="B5">
        <v>3</v>
      </c>
      <c r="C5" t="s">
        <v>116</v>
      </c>
      <c r="D5">
        <v>2503</v>
      </c>
      <c r="E5">
        <v>3</v>
      </c>
      <c r="F5" t="s">
        <v>116</v>
      </c>
      <c r="G5">
        <v>2003</v>
      </c>
      <c r="H5" s="12">
        <v>2</v>
      </c>
      <c r="I5" t="s">
        <v>117</v>
      </c>
      <c r="J5" s="12">
        <v>2013</v>
      </c>
      <c r="P5" t="s">
        <v>141</v>
      </c>
      <c r="Q5">
        <f>50+50+30+115*5</f>
        <v>705</v>
      </c>
    </row>
    <row r="6" spans="1:18">
      <c r="B6">
        <v>4</v>
      </c>
      <c r="C6" t="s">
        <v>118</v>
      </c>
      <c r="D6">
        <v>2504</v>
      </c>
      <c r="E6">
        <v>4</v>
      </c>
      <c r="F6" t="s">
        <v>118</v>
      </c>
      <c r="G6">
        <v>2004</v>
      </c>
      <c r="H6" s="12">
        <v>3</v>
      </c>
      <c r="I6" t="s">
        <v>116</v>
      </c>
      <c r="J6" s="12">
        <v>2014</v>
      </c>
    </row>
    <row r="7" spans="1:18">
      <c r="B7">
        <v>5</v>
      </c>
      <c r="C7" t="s">
        <v>119</v>
      </c>
      <c r="D7">
        <v>2505</v>
      </c>
      <c r="E7">
        <v>5</v>
      </c>
      <c r="F7" t="s">
        <v>119</v>
      </c>
      <c r="G7">
        <v>2005</v>
      </c>
      <c r="H7" s="12">
        <v>4</v>
      </c>
      <c r="I7" t="s">
        <v>118</v>
      </c>
      <c r="J7" s="12">
        <v>2015</v>
      </c>
    </row>
    <row r="8" spans="1:18">
      <c r="B8">
        <v>6</v>
      </c>
      <c r="C8" t="s">
        <v>120</v>
      </c>
      <c r="D8">
        <v>2506</v>
      </c>
      <c r="E8">
        <v>6</v>
      </c>
      <c r="F8" t="s">
        <v>120</v>
      </c>
      <c r="G8">
        <v>2006</v>
      </c>
      <c r="H8" s="12">
        <v>5</v>
      </c>
      <c r="I8" t="s">
        <v>119</v>
      </c>
      <c r="J8" s="12">
        <v>2016</v>
      </c>
    </row>
    <row r="9" spans="1:18">
      <c r="B9">
        <v>7</v>
      </c>
      <c r="C9" t="s">
        <v>121</v>
      </c>
      <c r="D9">
        <v>2507</v>
      </c>
      <c r="E9">
        <v>7</v>
      </c>
      <c r="F9" t="s">
        <v>121</v>
      </c>
      <c r="G9">
        <v>2007</v>
      </c>
      <c r="H9" s="12">
        <v>6</v>
      </c>
      <c r="I9" t="s">
        <v>120</v>
      </c>
      <c r="J9" s="12">
        <v>2017</v>
      </c>
    </row>
    <row r="10" spans="1:18">
      <c r="B10">
        <v>8</v>
      </c>
      <c r="C10" t="s">
        <v>122</v>
      </c>
      <c r="D10">
        <v>2508</v>
      </c>
      <c r="E10">
        <v>8</v>
      </c>
      <c r="F10" t="s">
        <v>122</v>
      </c>
      <c r="G10">
        <v>2008</v>
      </c>
      <c r="H10" s="12">
        <v>7</v>
      </c>
      <c r="I10" t="s">
        <v>121</v>
      </c>
      <c r="J10" s="12">
        <v>2018</v>
      </c>
    </row>
    <row r="11" spans="1:18">
      <c r="B11">
        <v>9</v>
      </c>
      <c r="C11" t="s">
        <v>123</v>
      </c>
      <c r="D11">
        <v>2509</v>
      </c>
      <c r="E11" s="12">
        <v>9</v>
      </c>
      <c r="F11" t="s">
        <v>124</v>
      </c>
      <c r="G11" s="12">
        <v>2009</v>
      </c>
      <c r="H11" s="12">
        <v>8</v>
      </c>
      <c r="I11" t="s">
        <v>122</v>
      </c>
      <c r="J11" s="12">
        <v>2019</v>
      </c>
    </row>
    <row r="12" spans="1:18">
      <c r="B12">
        <v>10</v>
      </c>
      <c r="C12" t="s">
        <v>124</v>
      </c>
      <c r="D12" s="12">
        <v>2510</v>
      </c>
      <c r="H12" s="13">
        <v>9</v>
      </c>
      <c r="I12" t="s">
        <v>124</v>
      </c>
      <c r="J12" s="13">
        <v>2020</v>
      </c>
    </row>
    <row r="13" spans="1:18">
      <c r="B13">
        <v>11</v>
      </c>
      <c r="C13" t="s">
        <v>125</v>
      </c>
      <c r="D13" s="13">
        <v>2521</v>
      </c>
      <c r="E13" s="12">
        <v>51</v>
      </c>
      <c r="F13" s="12" t="s">
        <v>126</v>
      </c>
      <c r="G13" s="13">
        <v>2101</v>
      </c>
      <c r="H13" s="12">
        <v>51</v>
      </c>
      <c r="I13" t="s">
        <v>126</v>
      </c>
      <c r="J13" s="13">
        <v>2111</v>
      </c>
    </row>
    <row r="14" spans="1:18">
      <c r="B14">
        <v>51</v>
      </c>
      <c r="C14" t="s">
        <v>127</v>
      </c>
      <c r="D14" s="13">
        <v>2511</v>
      </c>
      <c r="E14">
        <v>61</v>
      </c>
      <c r="F14" t="s">
        <v>128</v>
      </c>
      <c r="G14">
        <v>2201</v>
      </c>
      <c r="H14" s="13">
        <v>61</v>
      </c>
      <c r="I14" t="s">
        <v>128</v>
      </c>
      <c r="J14" s="13">
        <v>2211</v>
      </c>
    </row>
    <row r="15" spans="1:18">
      <c r="B15">
        <v>52</v>
      </c>
      <c r="C15" t="s">
        <v>129</v>
      </c>
      <c r="D15">
        <v>2512</v>
      </c>
      <c r="E15">
        <v>62</v>
      </c>
      <c r="F15" t="s">
        <v>130</v>
      </c>
      <c r="G15">
        <v>2202</v>
      </c>
      <c r="H15" s="13">
        <v>62</v>
      </c>
      <c r="I15" t="s">
        <v>130</v>
      </c>
      <c r="J15" s="13">
        <v>2212</v>
      </c>
    </row>
    <row r="16" spans="1:18">
      <c r="B16">
        <v>53</v>
      </c>
      <c r="C16" t="s">
        <v>131</v>
      </c>
      <c r="D16">
        <v>2513</v>
      </c>
    </row>
    <row r="17" spans="2:10">
      <c r="B17">
        <v>54</v>
      </c>
      <c r="C17" t="s">
        <v>132</v>
      </c>
      <c r="D17">
        <v>2514</v>
      </c>
      <c r="F17" t="s">
        <v>133</v>
      </c>
      <c r="G17">
        <v>2099</v>
      </c>
      <c r="I17" t="s">
        <v>133</v>
      </c>
      <c r="J17" s="12">
        <v>2099</v>
      </c>
    </row>
    <row r="18" spans="2:10">
      <c r="B18">
        <v>55</v>
      </c>
      <c r="C18" t="s">
        <v>134</v>
      </c>
      <c r="D18">
        <v>2515</v>
      </c>
    </row>
    <row r="19" spans="2:10">
      <c r="B19">
        <v>56</v>
      </c>
      <c r="C19" t="s">
        <v>135</v>
      </c>
      <c r="D19">
        <v>2516</v>
      </c>
    </row>
    <row r="20" spans="2:10">
      <c r="B20">
        <v>57</v>
      </c>
      <c r="C20" t="s">
        <v>136</v>
      </c>
      <c r="D20">
        <v>2517</v>
      </c>
      <c r="F20" t="s">
        <v>137</v>
      </c>
    </row>
    <row r="21" spans="2:10">
      <c r="F21" t="s">
        <v>138</v>
      </c>
    </row>
    <row r="22" spans="2:10">
      <c r="C22" t="s">
        <v>133</v>
      </c>
      <c r="D22">
        <v>2599</v>
      </c>
    </row>
  </sheetData>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4653F-DEDA-46CF-A6B1-B08C014E68E3}">
  <sheetPr codeName="Sheet8"/>
  <dimension ref="A1:C30"/>
  <sheetViews>
    <sheetView workbookViewId="0">
      <selection activeCell="A8" sqref="A8"/>
    </sheetView>
  </sheetViews>
  <sheetFormatPr defaultRowHeight="18"/>
  <cols>
    <col min="1" max="1" width="20.08203125" customWidth="1"/>
    <col min="2" max="2" width="17.4140625" customWidth="1"/>
    <col min="3" max="3" width="14.25" customWidth="1"/>
  </cols>
  <sheetData>
    <row r="1" spans="1:3">
      <c r="A1" s="19" t="s">
        <v>157</v>
      </c>
      <c r="B1" t="s">
        <v>158</v>
      </c>
      <c r="C1" t="s">
        <v>159</v>
      </c>
    </row>
    <row r="2" spans="1:3">
      <c r="A2" s="6">
        <v>43728.541666666664</v>
      </c>
      <c r="B2" s="6">
        <v>43728.583333333336</v>
      </c>
      <c r="C2" s="3">
        <v>8</v>
      </c>
    </row>
    <row r="3" spans="1:3">
      <c r="A3" s="6">
        <v>43728.541666666664</v>
      </c>
      <c r="B3" s="6">
        <v>43728.583333333336</v>
      </c>
      <c r="C3" s="3">
        <v>10</v>
      </c>
    </row>
    <row r="4" spans="1:3">
      <c r="A4" s="6">
        <v>43728.583333333336</v>
      </c>
      <c r="B4" s="6">
        <v>43728.625</v>
      </c>
      <c r="C4" s="3">
        <v>13</v>
      </c>
    </row>
    <row r="5" spans="1:3">
      <c r="A5" s="6">
        <v>43728.583333333336</v>
      </c>
      <c r="B5" s="6">
        <v>43728.666666666664</v>
      </c>
      <c r="C5" s="3">
        <v>4</v>
      </c>
    </row>
    <row r="6" spans="1:3">
      <c r="A6" s="6">
        <v>43728.625</v>
      </c>
      <c r="B6" s="6">
        <v>43728.666666666664</v>
      </c>
      <c r="C6" s="3">
        <v>12</v>
      </c>
    </row>
    <row r="7" spans="1:3">
      <c r="A7" s="6">
        <v>43728.708333333336</v>
      </c>
      <c r="B7" s="6">
        <v>43728.833333333336</v>
      </c>
      <c r="C7" s="3">
        <v>12</v>
      </c>
    </row>
    <row r="8" spans="1:3">
      <c r="A8" s="6">
        <v>43731.541666666664</v>
      </c>
      <c r="B8" s="6">
        <v>43731.583333333336</v>
      </c>
      <c r="C8" s="3">
        <v>8</v>
      </c>
    </row>
    <row r="9" spans="1:3">
      <c r="A9" s="6">
        <v>43731.541666666664</v>
      </c>
      <c r="B9" s="6">
        <v>43731.583333333336</v>
      </c>
      <c r="C9" s="3">
        <v>6</v>
      </c>
    </row>
    <row r="10" spans="1:3">
      <c r="A10" s="6">
        <v>43731.583333333336</v>
      </c>
      <c r="B10" s="6">
        <v>43731.625</v>
      </c>
      <c r="C10" s="3">
        <v>13</v>
      </c>
    </row>
    <row r="11" spans="1:3">
      <c r="A11" s="6">
        <v>43732.5</v>
      </c>
      <c r="B11" s="6">
        <v>43732.583333333336</v>
      </c>
      <c r="C11" s="3">
        <v>5</v>
      </c>
    </row>
    <row r="12" spans="1:3">
      <c r="A12" s="6">
        <v>43732.541666666664</v>
      </c>
      <c r="B12" s="6">
        <v>43732.625</v>
      </c>
      <c r="C12" s="3">
        <v>2</v>
      </c>
    </row>
    <row r="13" spans="1:3">
      <c r="A13" s="6">
        <v>43732.625</v>
      </c>
      <c r="B13" s="6">
        <v>43732.666666666664</v>
      </c>
      <c r="C13" s="3">
        <v>10</v>
      </c>
    </row>
    <row r="14" spans="1:3">
      <c r="A14" s="6">
        <v>43732.625</v>
      </c>
      <c r="B14" s="6">
        <v>43732.666666666664</v>
      </c>
      <c r="C14" s="3">
        <v>6</v>
      </c>
    </row>
    <row r="15" spans="1:3">
      <c r="A15" s="6">
        <v>43733.541666666664</v>
      </c>
      <c r="B15" s="6">
        <v>43733.583333333336</v>
      </c>
      <c r="C15" s="3">
        <v>11</v>
      </c>
    </row>
    <row r="16" spans="1:3">
      <c r="A16" s="6">
        <v>43733.541666666664</v>
      </c>
      <c r="B16" s="6">
        <v>43733.583333333336</v>
      </c>
      <c r="C16" s="3">
        <v>1</v>
      </c>
    </row>
    <row r="17" spans="1:3">
      <c r="A17" s="6">
        <v>43733.583333333336</v>
      </c>
      <c r="B17" s="6">
        <v>43733.625</v>
      </c>
      <c r="C17" s="3">
        <v>7</v>
      </c>
    </row>
    <row r="18" spans="1:3">
      <c r="A18" s="6">
        <v>43733.625</v>
      </c>
      <c r="B18" s="6">
        <v>43733.666666666664</v>
      </c>
      <c r="C18" s="3">
        <v>9</v>
      </c>
    </row>
    <row r="19" spans="1:3">
      <c r="A19" s="6">
        <v>43734.541666666664</v>
      </c>
      <c r="B19" s="6">
        <v>43734.583333333336</v>
      </c>
      <c r="C19" s="3">
        <v>2</v>
      </c>
    </row>
    <row r="20" spans="1:3">
      <c r="A20" s="6">
        <v>43734.5</v>
      </c>
      <c r="B20" s="6">
        <v>43734.583333333336</v>
      </c>
      <c r="C20" s="3">
        <v>1</v>
      </c>
    </row>
    <row r="21" spans="1:3">
      <c r="A21" s="6">
        <v>43734.583333333336</v>
      </c>
      <c r="B21" s="6">
        <v>43734.666666666664</v>
      </c>
      <c r="C21" s="3">
        <v>3</v>
      </c>
    </row>
    <row r="22" spans="1:3">
      <c r="A22" s="6">
        <v>43735.541666666664</v>
      </c>
      <c r="B22" s="6">
        <v>43735.583333333336</v>
      </c>
      <c r="C22" s="3">
        <v>8</v>
      </c>
    </row>
    <row r="23" spans="1:3">
      <c r="A23" s="6">
        <v>43735.541666666664</v>
      </c>
      <c r="B23" s="6">
        <v>43735.583333333336</v>
      </c>
      <c r="C23" s="3">
        <v>10</v>
      </c>
    </row>
    <row r="24" spans="1:3">
      <c r="A24" s="6">
        <v>43735.583333333336</v>
      </c>
      <c r="B24" s="6">
        <v>43735.625</v>
      </c>
      <c r="C24" s="3">
        <v>13</v>
      </c>
    </row>
    <row r="25" spans="1:3">
      <c r="A25" s="6">
        <v>43735.583333333336</v>
      </c>
      <c r="B25" s="6">
        <v>43735.666666666664</v>
      </c>
      <c r="C25" s="3">
        <v>4</v>
      </c>
    </row>
    <row r="26" spans="1:3">
      <c r="A26" s="6">
        <v>43735.625</v>
      </c>
      <c r="B26" s="6">
        <v>43735.666666666664</v>
      </c>
      <c r="C26" s="3">
        <v>12</v>
      </c>
    </row>
    <row r="27" spans="1:3">
      <c r="A27" s="6"/>
      <c r="B27" s="6"/>
      <c r="C27" s="3"/>
    </row>
    <row r="28" spans="1:3">
      <c r="A28" s="6"/>
      <c r="B28" s="6"/>
      <c r="C28" s="3"/>
    </row>
    <row r="29" spans="1:3">
      <c r="A29" s="6"/>
      <c r="B29" s="6"/>
      <c r="C29" s="3"/>
    </row>
    <row r="30" spans="1:3">
      <c r="A30" s="6"/>
      <c r="B30" s="6"/>
      <c r="C30" s="3"/>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import_Shift">
                <anchor moveWithCells="1" sizeWithCells="1">
                  <from>
                    <xdr:col>5</xdr:col>
                    <xdr:colOff>647700</xdr:colOff>
                    <xdr:row>0</xdr:row>
                    <xdr:rowOff>114300</xdr:rowOff>
                  </from>
                  <to>
                    <xdr:col>8</xdr:col>
                    <xdr:colOff>76200</xdr:colOff>
                    <xdr:row>1</xdr:row>
                    <xdr:rowOff>203200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5347D-7A76-4561-81E6-336BEC669E8F}">
  <sheetPr codeName="Sheet4"/>
  <dimension ref="A1:E59"/>
  <sheetViews>
    <sheetView workbookViewId="0">
      <selection activeCell="C5" sqref="C5"/>
    </sheetView>
  </sheetViews>
  <sheetFormatPr defaultRowHeight="18"/>
  <cols>
    <col min="1" max="1" width="10.5" bestFit="1" customWidth="1"/>
    <col min="2" max="2" width="10.58203125" customWidth="1"/>
    <col min="4" max="4" width="11.25" customWidth="1"/>
  </cols>
  <sheetData>
    <row r="1" spans="1:5">
      <c r="A1" s="8">
        <v>43637</v>
      </c>
      <c r="B1" t="s">
        <v>27</v>
      </c>
      <c r="C1" t="s">
        <v>28</v>
      </c>
      <c r="D1" t="s">
        <v>29</v>
      </c>
    </row>
    <row r="2" spans="1:5">
      <c r="D2" t="s">
        <v>30</v>
      </c>
    </row>
    <row r="3" spans="1:5">
      <c r="D3" t="s">
        <v>31</v>
      </c>
    </row>
    <row r="4" spans="1:5">
      <c r="D4" t="s">
        <v>32</v>
      </c>
    </row>
    <row r="5" spans="1:5">
      <c r="D5" s="9" t="s">
        <v>33</v>
      </c>
    </row>
    <row r="6" spans="1:5">
      <c r="D6" t="s">
        <v>34</v>
      </c>
    </row>
    <row r="7" spans="1:5">
      <c r="A7" s="8">
        <v>43640</v>
      </c>
      <c r="B7" t="s">
        <v>35</v>
      </c>
      <c r="C7" t="s">
        <v>28</v>
      </c>
      <c r="D7" t="s">
        <v>36</v>
      </c>
      <c r="E7" t="s">
        <v>37</v>
      </c>
    </row>
    <row r="8" spans="1:5">
      <c r="A8" s="8"/>
      <c r="E8" t="s">
        <v>38</v>
      </c>
    </row>
    <row r="9" spans="1:5">
      <c r="A9" s="8"/>
      <c r="D9" t="s">
        <v>39</v>
      </c>
      <c r="E9" t="s">
        <v>40</v>
      </c>
    </row>
    <row r="10" spans="1:5">
      <c r="A10" s="8"/>
      <c r="D10" t="s">
        <v>25</v>
      </c>
      <c r="E10" t="s">
        <v>41</v>
      </c>
    </row>
    <row r="11" spans="1:5">
      <c r="A11" s="8"/>
      <c r="E11" t="s">
        <v>42</v>
      </c>
    </row>
    <row r="12" spans="1:5">
      <c r="A12" s="8"/>
      <c r="D12" t="s">
        <v>39</v>
      </c>
      <c r="E12" t="s">
        <v>43</v>
      </c>
    </row>
    <row r="13" spans="1:5">
      <c r="A13" s="8"/>
      <c r="D13" t="s">
        <v>44</v>
      </c>
      <c r="E13" t="s">
        <v>45</v>
      </c>
    </row>
    <row r="14" spans="1:5">
      <c r="A14" s="8"/>
      <c r="E14" t="s">
        <v>46</v>
      </c>
    </row>
    <row r="15" spans="1:5">
      <c r="A15" s="8"/>
      <c r="D15" t="s">
        <v>47</v>
      </c>
      <c r="E15" t="s">
        <v>48</v>
      </c>
    </row>
    <row r="16" spans="1:5">
      <c r="A16" s="8"/>
      <c r="E16" t="s">
        <v>49</v>
      </c>
    </row>
    <row r="17" spans="1:5">
      <c r="A17" s="8">
        <v>43641</v>
      </c>
      <c r="B17" t="s">
        <v>50</v>
      </c>
      <c r="C17" t="s">
        <v>28</v>
      </c>
      <c r="D17" t="s">
        <v>36</v>
      </c>
      <c r="E17" t="s">
        <v>51</v>
      </c>
    </row>
    <row r="18" spans="1:5">
      <c r="A18" s="10">
        <v>43644</v>
      </c>
      <c r="B18" t="s">
        <v>52</v>
      </c>
      <c r="C18" t="s">
        <v>28</v>
      </c>
      <c r="D18" t="s">
        <v>36</v>
      </c>
      <c r="E18" t="s">
        <v>53</v>
      </c>
    </row>
    <row r="19" spans="1:5">
      <c r="D19" t="s">
        <v>25</v>
      </c>
      <c r="E19" t="s">
        <v>54</v>
      </c>
    </row>
    <row r="20" spans="1:5">
      <c r="A20" s="10">
        <v>43651</v>
      </c>
      <c r="B20" t="s">
        <v>55</v>
      </c>
      <c r="C20" t="s">
        <v>28</v>
      </c>
      <c r="D20" t="s">
        <v>36</v>
      </c>
      <c r="E20" t="s">
        <v>56</v>
      </c>
    </row>
    <row r="21" spans="1:5">
      <c r="D21" t="s">
        <v>25</v>
      </c>
      <c r="E21" t="s">
        <v>57</v>
      </c>
    </row>
    <row r="22" spans="1:5">
      <c r="D22" t="s">
        <v>58</v>
      </c>
      <c r="E22" t="s">
        <v>59</v>
      </c>
    </row>
    <row r="23" spans="1:5">
      <c r="A23" s="10">
        <v>43658</v>
      </c>
      <c r="B23" t="s">
        <v>60</v>
      </c>
      <c r="C23" t="s">
        <v>28</v>
      </c>
      <c r="D23" t="s">
        <v>36</v>
      </c>
      <c r="E23" t="s">
        <v>61</v>
      </c>
    </row>
    <row r="24" spans="1:5">
      <c r="D24" t="s">
        <v>25</v>
      </c>
      <c r="E24" t="s">
        <v>62</v>
      </c>
    </row>
    <row r="25" spans="1:5">
      <c r="D25" t="s">
        <v>58</v>
      </c>
      <c r="E25" t="s">
        <v>63</v>
      </c>
    </row>
    <row r="26" spans="1:5">
      <c r="D26" t="s">
        <v>47</v>
      </c>
      <c r="E26" t="s">
        <v>64</v>
      </c>
    </row>
    <row r="27" spans="1:5">
      <c r="D27" t="s">
        <v>65</v>
      </c>
      <c r="E27" t="s">
        <v>66</v>
      </c>
    </row>
    <row r="28" spans="1:5">
      <c r="D28" t="s">
        <v>67</v>
      </c>
      <c r="E28" t="s">
        <v>68</v>
      </c>
    </row>
    <row r="29" spans="1:5">
      <c r="E29" t="s">
        <v>69</v>
      </c>
    </row>
    <row r="30" spans="1:5">
      <c r="E30" t="s">
        <v>70</v>
      </c>
    </row>
    <row r="31" spans="1:5">
      <c r="D31" t="s">
        <v>71</v>
      </c>
      <c r="E31" t="s">
        <v>72</v>
      </c>
    </row>
    <row r="32" spans="1:5">
      <c r="D32" t="s">
        <v>73</v>
      </c>
      <c r="E32" t="s">
        <v>74</v>
      </c>
    </row>
    <row r="33" spans="2:5">
      <c r="D33" t="s">
        <v>75</v>
      </c>
      <c r="E33" t="s">
        <v>76</v>
      </c>
    </row>
    <row r="34" spans="2:5">
      <c r="D34" t="s">
        <v>77</v>
      </c>
      <c r="E34" t="s">
        <v>78</v>
      </c>
    </row>
    <row r="35" spans="2:5">
      <c r="E35" t="s">
        <v>79</v>
      </c>
    </row>
    <row r="36" spans="2:5">
      <c r="D36" t="s">
        <v>80</v>
      </c>
      <c r="E36" t="s">
        <v>81</v>
      </c>
    </row>
    <row r="37" spans="2:5">
      <c r="D37" t="s">
        <v>82</v>
      </c>
      <c r="E37" t="s">
        <v>83</v>
      </c>
    </row>
    <row r="38" spans="2:5">
      <c r="E38" t="s">
        <v>84</v>
      </c>
    </row>
    <row r="39" spans="2:5">
      <c r="E39" t="s">
        <v>85</v>
      </c>
    </row>
    <row r="40" spans="2:5">
      <c r="E40" t="s">
        <v>86</v>
      </c>
    </row>
    <row r="41" spans="2:5">
      <c r="D41" t="s">
        <v>87</v>
      </c>
      <c r="E41" t="s">
        <v>88</v>
      </c>
    </row>
    <row r="42" spans="2:5">
      <c r="B42">
        <v>1.0309999999999999</v>
      </c>
      <c r="C42" t="s">
        <v>28</v>
      </c>
      <c r="D42" t="s">
        <v>36</v>
      </c>
      <c r="E42" t="s">
        <v>89</v>
      </c>
    </row>
    <row r="43" spans="2:5">
      <c r="D43" t="s">
        <v>25</v>
      </c>
      <c r="E43" t="s">
        <v>90</v>
      </c>
    </row>
    <row r="44" spans="2:5">
      <c r="B44">
        <v>1.032</v>
      </c>
      <c r="C44" t="s">
        <v>28</v>
      </c>
      <c r="D44" t="s">
        <v>36</v>
      </c>
      <c r="E44" t="s">
        <v>91</v>
      </c>
    </row>
    <row r="45" spans="2:5">
      <c r="D45" t="s">
        <v>25</v>
      </c>
      <c r="E45" t="s">
        <v>92</v>
      </c>
    </row>
    <row r="46" spans="2:5">
      <c r="B46">
        <v>1.0329999999999999</v>
      </c>
      <c r="C46" t="s">
        <v>28</v>
      </c>
      <c r="D46" t="s">
        <v>93</v>
      </c>
      <c r="E46" t="s">
        <v>94</v>
      </c>
    </row>
    <row r="47" spans="2:5">
      <c r="D47" t="s">
        <v>95</v>
      </c>
      <c r="E47" t="s">
        <v>96</v>
      </c>
    </row>
    <row r="48" spans="2:5">
      <c r="B48">
        <v>1.4</v>
      </c>
      <c r="C48" t="s">
        <v>28</v>
      </c>
      <c r="D48" t="s">
        <v>36</v>
      </c>
      <c r="E48" t="s">
        <v>97</v>
      </c>
    </row>
    <row r="49" spans="2:5">
      <c r="E49" t="s">
        <v>98</v>
      </c>
    </row>
    <row r="50" spans="2:5">
      <c r="D50" t="s">
        <v>36</v>
      </c>
      <c r="E50" t="s">
        <v>99</v>
      </c>
    </row>
    <row r="51" spans="2:5">
      <c r="D51" t="s">
        <v>25</v>
      </c>
      <c r="E51" t="s">
        <v>100</v>
      </c>
    </row>
    <row r="52" spans="2:5">
      <c r="D52" t="s">
        <v>58</v>
      </c>
      <c r="E52" t="s">
        <v>101</v>
      </c>
    </row>
    <row r="53" spans="2:5">
      <c r="D53" t="s">
        <v>47</v>
      </c>
      <c r="E53" t="s">
        <v>102</v>
      </c>
    </row>
    <row r="54" spans="2:5">
      <c r="D54" t="s">
        <v>103</v>
      </c>
      <c r="E54" t="s">
        <v>104</v>
      </c>
    </row>
    <row r="55" spans="2:5">
      <c r="B55">
        <v>1.42</v>
      </c>
      <c r="C55" t="s">
        <v>28</v>
      </c>
      <c r="D55" t="s">
        <v>36</v>
      </c>
      <c r="E55" t="s">
        <v>105</v>
      </c>
    </row>
    <row r="56" spans="2:5">
      <c r="B56">
        <v>1.43</v>
      </c>
      <c r="C56" t="s">
        <v>28</v>
      </c>
      <c r="D56" t="s">
        <v>36</v>
      </c>
      <c r="E56" t="s">
        <v>106</v>
      </c>
    </row>
    <row r="57" spans="2:5">
      <c r="D57" t="s">
        <v>25</v>
      </c>
      <c r="E57" t="s">
        <v>26</v>
      </c>
    </row>
    <row r="58" spans="2:5">
      <c r="D58" t="s">
        <v>142</v>
      </c>
      <c r="E58" t="s">
        <v>143</v>
      </c>
    </row>
    <row r="59" spans="2:5">
      <c r="D59" t="s">
        <v>144</v>
      </c>
      <c r="E59" t="s">
        <v>145</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メイン</vt:lpstr>
      <vt:lpstr>出力</vt:lpstr>
      <vt:lpstr>入力</vt:lpstr>
      <vt:lpstr>生データ</vt:lpstr>
      <vt:lpstr>重複チェック</vt:lpstr>
      <vt:lpstr>学科コード表</vt:lpstr>
      <vt:lpstr>シフト表</vt:lpstr>
      <vt:lpstr>連絡事項</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ゆい</dc:creator>
  <cp:lastModifiedBy>ゆい</cp:lastModifiedBy>
  <cp:lastPrinted>2019-07-28T14:53:38Z</cp:lastPrinted>
  <dcterms:created xsi:type="dcterms:W3CDTF">2019-06-11T08:04:49Z</dcterms:created>
  <dcterms:modified xsi:type="dcterms:W3CDTF">2019-09-20T09:01:52Z</dcterms:modified>
</cp:coreProperties>
</file>