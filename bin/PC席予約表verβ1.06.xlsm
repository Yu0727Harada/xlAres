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C5EFB402-1E1D-40C9-9A70-78F0C37007F6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B12" i="4"/>
  <c r="AC2" i="4"/>
  <c r="AE4" i="4" l="1"/>
  <c r="K2" i="4"/>
  <c r="C13" i="4" l="1"/>
  <c r="C12" i="4"/>
  <c r="C21" i="4" l="1"/>
  <c r="E22" i="4" s="1"/>
  <c r="D4" i="4" s="1"/>
  <c r="D23" i="4" l="1"/>
  <c r="F22" i="4"/>
  <c r="E4" i="4" s="1"/>
  <c r="J24" i="4"/>
  <c r="I6" i="4" s="1"/>
  <c r="G24" i="4"/>
  <c r="F26" i="4"/>
  <c r="E8" i="4" s="1"/>
  <c r="H23" i="4"/>
  <c r="G5" i="4" s="1"/>
  <c r="I25" i="4"/>
  <c r="E23" i="4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E5" i="4"/>
  <c r="C5" i="4"/>
  <c r="F6" i="4"/>
  <c r="D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7" i="4"/>
  <c r="G6" i="4"/>
</calcChain>
</file>

<file path=xl/sharedStrings.xml><?xml version="1.0" encoding="utf-8"?>
<sst xmlns="http://schemas.openxmlformats.org/spreadsheetml/2006/main" count="124" uniqueCount="97">
  <si>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</si>
  <si>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</si>
  <si>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</si>
  <si>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</si>
  <si>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</si>
  <si>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</si>
  <si>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</si>
  <si>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</si>
  <si>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</si>
  <si>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</si>
  <si>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</si>
  <si>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</si>
  <si>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</si>
  <si>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</si>
  <si>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</si>
  <si>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</si>
  <si>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</si>
  <si>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</si>
  <si>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</si>
  <si>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</si>
  <si>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</si>
  <si>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</si>
  <si>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</si>
  <si>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</si>
  <si>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</si>
  <si>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</si>
  <si>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</si>
  <si>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</si>
  <si>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</si>
  <si>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</si>
  <si>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</si>
  <si>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</si>
  <si>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</si>
  <si>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</si>
  <si>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</si>
  <si>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</si>
  <si>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</si>
  <si>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</si>
  <si>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</si>
  <si>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</si>
  <si>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</si>
  <si>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</si>
  <si>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</si>
  <si>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</si>
  <si>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</si>
  <si>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</si>
  <si>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</si>
  <si>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</si>
  <si>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</si>
  <si>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</si>
  <si>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</si>
  <si>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</si>
  <si>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</si>
  <si>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</si>
  <si>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</si>
  <si>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</si>
  <si>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</si>
  <si>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</si>
  <si>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</si>
  <si>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</si>
  <si>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</si>
  <si>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</si>
  <si>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</si>
  <si>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</si>
  <si>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</si>
  <si>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</si>
  <si>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</si>
  <si>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</si>
  <si>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</si>
  <si>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</si>
  <si>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</si>
  <si>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</si>
  <si>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</si>
  <si>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</si>
  <si>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</si>
  <si>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</si>
  <si>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</si>
  <si>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</si>
  <si>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</si>
  <si>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</si>
  <si>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</si>
  <si>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</si>
  <si>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</si>
  <si>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</si>
  <si>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</si>
  <si>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</si>
  <si>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</si>
  <si>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</si>
  <si>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</si>
  <si>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</si>
  <si>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学籍番号or学籍台帳番号</t>
    <rPh sb="0" eb="2">
      <t>ガクセキ</t>
    </rPh>
    <rPh sb="2" eb="4">
      <t>バンゴウ</t>
    </rPh>
    <rPh sb="6" eb="8">
      <t>ガクセキ</t>
    </rPh>
    <rPh sb="8" eb="10">
      <t>ダイチョウ</t>
    </rPh>
    <rPh sb="10" eb="12">
      <t>バンゴウ</t>
    </rPh>
    <phoneticPr fontId="1"/>
  </si>
  <si>
    <t>test</t>
    <phoneticPr fontId="1"/>
  </si>
  <si>
    <t>testtt</t>
    <phoneticPr fontId="1"/>
  </si>
  <si>
    <t>testete</t>
    <phoneticPr fontId="1"/>
  </si>
  <si>
    <t>tetete</t>
    <phoneticPr fontId="1"/>
  </si>
  <si>
    <t>tetetst</t>
    <phoneticPr fontId="1"/>
  </si>
  <si>
    <t>testetete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</si>
</sst>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580497</xdr:colOff>
          <xdr:row>6</xdr:row>
          <xdr:rowOff>432859</xdr:rowOff>
        </xdr:from>
        <xdr:to>
          <xdr:col>18</xdr:col>
          <xdr:colOff>333375</xdr:colOff>
          <xdr:row>7</xdr:row>
          <xdr:rowOff>343958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612775</xdr:colOff>
          <xdr:row>7</xdr:row>
          <xdr:rowOff>573617</xdr:rowOff>
        </xdr:from>
        <xdr:to>
          <xdr:col>18</xdr:col>
          <xdr:colOff>312738</xdr:colOff>
          <xdr:row>9</xdr:row>
          <xdr:rowOff>310092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36514</xdr:colOff>
          <xdr:row>3</xdr:row>
          <xdr:rowOff>34396</xdr:rowOff>
        </xdr:from>
        <xdr:to>
          <xdr:col>15</xdr:col>
          <xdr:colOff>132822</xdr:colOff>
          <xdr:row>3</xdr:row>
          <xdr:rowOff>429683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176213</xdr:colOff>
          <xdr:row>12</xdr:row>
          <xdr:rowOff>133350</xdr:rowOff>
        </xdr:from>
        <xdr:to>
          <xdr:col>15</xdr:col>
          <xdr:colOff>328613</xdr:colOff>
          <xdr:row>13</xdr:row>
          <xdr:rowOff>85725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13</xdr:row>
          <xdr:rowOff>342900</xdr:rowOff>
        </xdr:from>
        <xdr:to>
          <xdr:col>15</xdr:col>
          <xdr:colOff>314325</xdr:colOff>
          <xdr:row>14</xdr:row>
          <xdr:rowOff>257175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586317</xdr:colOff>
          <xdr:row>4</xdr:row>
          <xdr:rowOff>132291</xdr:rowOff>
        </xdr:from>
        <xdr:to>
          <xdr:col>18</xdr:col>
          <xdr:colOff>281517</xdr:colOff>
          <xdr:row>4</xdr:row>
          <xdr:rowOff>884766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77E6496F-FD62-40FA-B589-1BAF68D5E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22" name="Picture 774">
          <a:extLst>
            <a:ext uri="{FF2B5EF4-FFF2-40B4-BE49-F238E27FC236}">
              <a16:creationId xmlns:a16="http://schemas.microsoft.com/office/drawing/2014/main" id="{88456620-C299-424B-9423-F2A1642C3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11</xdr:col>
      <xdr:colOff>1366838</xdr:colOff>
      <xdr:row>12</xdr:row>
      <xdr:rowOff>4763</xdr:rowOff>
    </xdr:to>
    <xdr:pic>
      <xdr:nvPicPr>
        <xdr:cNvPr id="2823" name="Picture 775">
          <a:extLst>
            <a:ext uri="{FF2B5EF4-FFF2-40B4-BE49-F238E27FC236}">
              <a16:creationId xmlns:a16="http://schemas.microsoft.com/office/drawing/2014/main" id="{A9E3D4BD-B704-4290-B60A-E86C82DC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4867275"/>
          <a:ext cx="3109913" cy="2290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30422DFB-5A91-4C9C-AA21-3143406F5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C6FDAA7-8EDC-448F-9D43-FA457DF7D697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479F9DA1-0611-4B8B-A8B1-76E0D6061E38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7C4703B-E405-46B4-AD86-B4D38FA7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14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19D3AA5-D507-4DF2-802F-CA9EE584A0B5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testtt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43F4C6B-0688-460A-93BF-C38CADFC7FE0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</xdr:row>
      <xdr:rowOff>114300</xdr:rowOff>
    </xdr:from>
    <xdr:to>
      <xdr:col>1</xdr:col>
      <xdr:colOff>1217485</xdr:colOff>
      <xdr:row>1</xdr:row>
      <xdr:rowOff>1263205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BB29E00B-EBC6-4887-80EE-D117891A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2400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2</xdr:row>
      <xdr:rowOff>45720</xdr:rowOff>
    </xdr:from>
    <xdr:to>
      <xdr:col>1</xdr:col>
      <xdr:colOff>2949892</xdr:colOff>
      <xdr:row>2</xdr:row>
      <xdr:rowOff>1760220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CE526747-CA2F-48A7-9E93-B9235C92F0FD}"/>
            </a:ext>
          </a:extLst>
        </xdr:cNvPr>
        <xdr:cNvSpPr txBox="1"/>
      </xdr:nvSpPr>
      <xdr:spPr>
        <a:xfrm>
          <a:off x="2083117" y="461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testete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0</xdr:colOff>
      <xdr:row>3</xdr:row>
      <xdr:rowOff>0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7A578975-1F77-41A8-96FA-7C1A81073D02}"/>
            </a:ext>
          </a:extLst>
        </xdr:cNvPr>
        <xdr:cNvSpPr txBox="1"/>
      </xdr:nvSpPr>
      <xdr:spPr>
        <a:xfrm>
          <a:off x="685800" y="582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2</xdr:row>
      <xdr:rowOff>114300</xdr:rowOff>
    </xdr:from>
    <xdr:to>
      <xdr:col>1</xdr:col>
      <xdr:colOff>1217485</xdr:colOff>
      <xdr:row>2</xdr:row>
      <xdr:rowOff>1263205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B9B3EE58-3EF3-4066-A7EB-4BBB4E778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4686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3</xdr:row>
      <xdr:rowOff>45720</xdr:rowOff>
    </xdr:from>
    <xdr:to>
      <xdr:col>1</xdr:col>
      <xdr:colOff>2949892</xdr:colOff>
      <xdr:row>3</xdr:row>
      <xdr:rowOff>1760220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C8DC29C8-DB8D-433E-A6E6-4C473352CE92}"/>
            </a:ext>
          </a:extLst>
        </xdr:cNvPr>
        <xdr:cNvSpPr txBox="1"/>
      </xdr:nvSpPr>
      <xdr:spPr>
        <a:xfrm>
          <a:off x="2083117" y="690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tetete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0</xdr:colOff>
      <xdr:row>4</xdr:row>
      <xdr:rowOff>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D8BFA97D-3EFC-4700-B563-0355B8E7416C}"/>
            </a:ext>
          </a:extLst>
        </xdr:cNvPr>
        <xdr:cNvSpPr txBox="1"/>
      </xdr:nvSpPr>
      <xdr:spPr>
        <a:xfrm>
          <a:off x="685800" y="811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3</xdr:row>
      <xdr:rowOff>114300</xdr:rowOff>
    </xdr:from>
    <xdr:to>
      <xdr:col>1</xdr:col>
      <xdr:colOff>1217485</xdr:colOff>
      <xdr:row>3</xdr:row>
      <xdr:rowOff>1263205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803CA5E1-C320-42B6-B58B-18318AE6C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6972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4</xdr:row>
      <xdr:rowOff>45720</xdr:rowOff>
    </xdr:from>
    <xdr:to>
      <xdr:col>1</xdr:col>
      <xdr:colOff>2949892</xdr:colOff>
      <xdr:row>4</xdr:row>
      <xdr:rowOff>1760220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3AB87BE8-7699-4B89-862A-8230E4BE63FA}"/>
            </a:ext>
          </a:extLst>
        </xdr:cNvPr>
        <xdr:cNvSpPr txBox="1"/>
      </xdr:nvSpPr>
      <xdr:spPr>
        <a:xfrm>
          <a:off x="2083117" y="918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tetetst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0</xdr:colOff>
      <xdr:row>5</xdr:row>
      <xdr:rowOff>0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DEAF65D8-55BD-4677-93C5-6D57250DD035}"/>
            </a:ext>
          </a:extLst>
        </xdr:cNvPr>
        <xdr:cNvSpPr txBox="1"/>
      </xdr:nvSpPr>
      <xdr:spPr>
        <a:xfrm>
          <a:off x="685800" y="1040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4</xdr:row>
      <xdr:rowOff>114300</xdr:rowOff>
    </xdr:from>
    <xdr:to>
      <xdr:col>1</xdr:col>
      <xdr:colOff>1217485</xdr:colOff>
      <xdr:row>4</xdr:row>
      <xdr:rowOff>1263205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6D365ADD-111D-464B-B4BA-E4B7A861A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9258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5</xdr:row>
      <xdr:rowOff>45720</xdr:rowOff>
    </xdr:from>
    <xdr:to>
      <xdr:col>1</xdr:col>
      <xdr:colOff>2949892</xdr:colOff>
      <xdr:row>5</xdr:row>
      <xdr:rowOff>1760220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517B5CCC-C1ED-4212-913D-9F893D5FFBD3}"/>
            </a:ext>
          </a:extLst>
        </xdr:cNvPr>
        <xdr:cNvSpPr txBox="1"/>
      </xdr:nvSpPr>
      <xdr:spPr>
        <a:xfrm>
          <a:off x="2083117" y="1147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testetete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0</xdr:colOff>
      <xdr:row>6</xdr:row>
      <xdr:rowOff>0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E62060C-063A-40D7-A3AF-F160E31861DF}"/>
            </a:ext>
          </a:extLst>
        </xdr:cNvPr>
        <xdr:cNvSpPr txBox="1"/>
      </xdr:nvSpPr>
      <xdr:spPr>
        <a:xfrm>
          <a:off x="685800" y="1268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5</xdr:row>
      <xdr:rowOff>114300</xdr:rowOff>
    </xdr:from>
    <xdr:to>
      <xdr:col>1</xdr:col>
      <xdr:colOff>1217485</xdr:colOff>
      <xdr:row>5</xdr:row>
      <xdr:rowOff>1263205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30F0BF9-19A3-46F6-9575-5F19E1698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1544300"/>
          <a:ext cx="1148905" cy="1148905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topLeftCell="H1" colorId="63" zoomScale="90" zoomScaleNormal="90" workbookViewId="0">
      <selection activeCell="R2" sqref="R2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43781</v>
      </c>
      <c r="L2" s="50">
        <f ca="1">NOW()-INT(NOW())</f>
        <v>0.7838475694443332</v>
      </c>
      <c r="N2" s="48" t="s">
        <v>85</v>
      </c>
      <c r="U2" s="41"/>
      <c r="AA2" s="38" t="s">
        <v>72</v>
      </c>
      <c r="AB2" s="39"/>
      <c r="AC2" s="35">
        <f ca="1">setting_time(L2)</f>
        <v>7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52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52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52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52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52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52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4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5" t="s">
        <v>64</v>
      </c>
      <c r="U4" s="38"/>
      <c r="V4" s="39"/>
      <c r="W4" s="39"/>
      <c r="X4" s="40"/>
      <c r="Z4" s="38" t="s">
        <v>73</v>
      </c>
      <c r="AA4" s="39"/>
      <c r="AB4" s="39" t="s">
        <v>74</v>
      </c>
      <c r="AC4" s="39"/>
      <c r="AD4" s="39"/>
      <c r="AE4" s="35">
        <f ca="1">AC2</f>
        <v>7</v>
      </c>
    </row>
    <row r="5" spans="1:36" ht="70.150000000000006" customHeight="1" x14ac:dyDescent="0.7">
      <c r="A5" s="27"/>
      <c r="B5" s="13">
        <v>2</v>
      </c>
      <c r="C5" s="52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53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>使用済</v>
      </c>
      <c r="E5" s="52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52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52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52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4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5" t="s">
        <v>64</v>
      </c>
      <c r="U5" s="38"/>
      <c r="V5" s="39"/>
      <c r="W5" s="39"/>
      <c r="X5" s="40"/>
      <c r="Z5" s="35" t="s">
        <v>69</v>
      </c>
      <c r="AA5" s="35" t="s">
        <v>75</v>
      </c>
      <c r="AB5" s="35" t="s">
        <v>76</v>
      </c>
      <c r="AC5" s="35" t="s">
        <v>77</v>
      </c>
      <c r="AD5" s="35" t="s">
        <v>78</v>
      </c>
      <c r="AE5" s="35" t="s">
        <v>79</v>
      </c>
      <c r="AF5" s="35" t="s">
        <v>80</v>
      </c>
      <c r="AG5" s="35" t="s">
        <v>81</v>
      </c>
      <c r="AH5" s="35" t="s">
        <v>82</v>
      </c>
      <c r="AI5" s="35" t="s">
        <v>83</v>
      </c>
      <c r="AJ5" s="35" t="s">
        <v>84</v>
      </c>
    </row>
    <row r="6" spans="1:36" ht="70.150000000000006" customHeight="1" x14ac:dyDescent="0.7">
      <c r="A6" s="27"/>
      <c r="B6" s="13">
        <v>3</v>
      </c>
      <c r="C6" s="52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52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52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53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52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52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34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6" t="s">
        <v>71</v>
      </c>
      <c r="Z6" s="35">
        <v>1</v>
      </c>
      <c r="AA6" s="35" t="str">
        <f ca="1">IFERROR(IF(INDEX(生データ!$D:$D,MATCH(OFFSET($D$22,$Z6-1,$AE$4-1),生データ!$D:$D,1))=OFFSET($D$22,$Z6-1,$AE$4-1),VLOOKUP(OFFSET($D$22,$Z6-1,$AE$4-1),生データ!$D:$O,COLUMN(C1),TRUE),""),"")</f>
        <v/>
      </c>
      <c r="AB6" s="35" t="str">
        <f ca="1">IFERROR(IF(INDEX(生データ!$D:$D,MATCH(OFFSET($D$22,$Z6-1,$AE$4-1),生データ!$D:$D,1))=OFFSET($D$22,$Z6-1,$AE$4-1),VLOOKUP(OFFSET($D$22,$Z6-1,$AE$4-1),生データ!$D:$O,COLUMN(D1),TRUE),""),"")</f>
        <v/>
      </c>
      <c r="AC6" s="35" t="str">
        <f ca="1">IFERROR(IF(INDEX(生データ!$D:$D,MATCH(OFFSET($D$22,$Z6-1,$AE$4-1),生データ!$D:$D,1))=OFFSET($D$22,$Z6-1,$AE$4-1),VLOOKUP(OFFSET($D$22,$Z6-1,$AE$4-1),生データ!$D:$O,COLUMN(E1),TRUE),""),"")</f>
        <v/>
      </c>
      <c r="AD6" s="35" t="str">
        <f ca="1">IFERROR(IF(INDEX(生データ!$D:$D,MATCH(OFFSET($D$22,$Z6-1,$AE$4-1),生データ!$D:$D,1))=OFFSET($D$22,$Z6-1,$AE$4-1),VLOOKUP(OFFSET($D$22,$Z6-1,$AE$4-1),生データ!$D:$O,COLUMN(F1),TRUE),""),"")</f>
        <v/>
      </c>
      <c r="AE6" s="35" t="str">
        <f ca="1">IFERROR(IF(INDEX(生データ!$D:$D,MATCH(OFFSET($D$22,$Z6-1,$AE$4-1),生データ!$D:$D,1))=OFFSET($D$22,$Z6-1,$AE$4-1),VLOOKUP(OFFSET($D$22,$Z6-1,$AE$4-1),生データ!$D:$O,COLUMN(G1),TRUE),""),"")</f>
        <v/>
      </c>
      <c r="AF6" s="35" t="str">
        <f ca="1">IFERROR(IF(INDEX(生データ!$D:$D,MATCH(OFFSET($D$22,$Z6-1,$AE$4-1),生データ!$D:$D,1))=OFFSET($D$22,$Z6-1,$AE$4-1),VLOOKUP(OFFSET($D$22,$Z6-1,$AE$4-1),生データ!$D:$O,COLUMN(H1),TRUE),""),"")</f>
        <v/>
      </c>
      <c r="AG6" s="35" t="str">
        <f ca="1">IFERROR(IF(INDEX(生データ!$D:$D,MATCH(OFFSET($D$22,$Z6-1,$AE$4-1),生データ!$D:$D,1))=OFFSET($D$22,$Z6-1,$AE$4-1),VLOOKUP(OFFSET($D$22,$Z6-1,$AE$4-1),生データ!$D:$O,COLUMN(I1),TRUE),""),"")</f>
        <v/>
      </c>
      <c r="AH6" s="35" t="str">
        <f ca="1">IFERROR(IF(INDEX(生データ!$D:$D,MATCH(OFFSET($D$22,$Z6-1,$AE$4-1),生データ!$D:$D,1))=OFFSET($D$22,$Z6-1,$AE$4-1),VLOOKUP(OFFSET($D$22,$Z6-1,$AE$4-1),生データ!$D:$O,COLUMN(J1),TRUE),""),"")</f>
        <v/>
      </c>
      <c r="AI6" s="35" t="str">
        <f ca="1">IFERROR(IF(INDEX(生データ!$D:$D,MATCH(OFFSET($D$22,$Z6-1,$AE$4-1),生データ!$D:$D,1))=OFFSET($D$22,$Z6-1,$AE$4-1),VLOOKUP(OFFSET($D$22,$Z6-1,$AE$4-1),生データ!$D:$O,COLUMN(K1),TRUE),""),"")</f>
        <v/>
      </c>
      <c r="AJ6" s="35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52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52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52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52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53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>使用済</v>
      </c>
      <c r="H7" s="52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4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5">
        <v>3</v>
      </c>
      <c r="U7" s="35">
        <v>4</v>
      </c>
      <c r="V7" s="35">
        <v>3</v>
      </c>
      <c r="W7" s="35">
        <v>2</v>
      </c>
      <c r="X7" s="35">
        <v>1</v>
      </c>
      <c r="Y7">
        <v>5</v>
      </c>
      <c r="Z7" s="35"/>
      <c r="AA7" s="35" t="str">
        <f ca="1">IFERROR(IF(INDEX(生データ!$D:$D,MATCH(OFFSET($D$22,$Z7-1,$AE$4-1),生データ!$D:$D,1))=OFFSET($D$22,$Z7-1,$AE$4-1),VLOOKUP(OFFSET($D$22,$Z7-1,$AE$4-1),生データ!$D:$O,COLUMN(C2),TRUE),""),"")</f>
        <v/>
      </c>
      <c r="AB7" s="35" t="str">
        <f ca="1">IFERROR(IF(INDEX(生データ!$D:$D,MATCH(OFFSET($D$22,$Z7-1,$AE$4-1),生データ!$D:$D,1))=OFFSET($D$22,$Z7-1,$AE$4-1),VLOOKUP(OFFSET($D$22,$Z7-1,$AE$4-1),生データ!$D:$O,COLUMN(D2),TRUE),""),"")</f>
        <v/>
      </c>
      <c r="AC7" s="35" t="str">
        <f ca="1">IFERROR(IF(INDEX(生データ!$D:$D,MATCH(OFFSET($D$22,$Z7-1,$AE$4-1),生データ!$D:$D,1))=OFFSET($D$22,$Z7-1,$AE$4-1),VLOOKUP(OFFSET($D$22,$Z7-1,$AE$4-1),生データ!$D:$O,COLUMN(E2),TRUE),""),"")</f>
        <v/>
      </c>
      <c r="AD7" s="35" t="str">
        <f ca="1">IFERROR(IF(INDEX(生データ!$D:$D,MATCH(OFFSET($D$22,$Z7-1,$AE$4-1),生データ!$D:$D,1))=OFFSET($D$22,$Z7-1,$AE$4-1),VLOOKUP(OFFSET($D$22,$Z7-1,$AE$4-1),生データ!$D:$O,COLUMN(F2),TRUE),""),"")</f>
        <v/>
      </c>
      <c r="AE7" s="35" t="str">
        <f ca="1">IFERROR(IF(INDEX(生データ!$D:$D,MATCH(OFFSET($D$22,$Z7-1,$AE$4-1),生データ!$D:$D,1))=OFFSET($D$22,$Z7-1,$AE$4-1),VLOOKUP(OFFSET($D$22,$Z7-1,$AE$4-1),生データ!$D:$O,COLUMN(G2),TRUE),""),"")</f>
        <v/>
      </c>
      <c r="AF7" s="35" t="str">
        <f ca="1">IFERROR(IF(INDEX(生データ!$D:$D,MATCH(OFFSET($D$22,$Z7-1,$AE$4-1),生データ!$D:$D,1))=OFFSET($D$22,$Z7-1,$AE$4-1),VLOOKUP(OFFSET($D$22,$Z7-1,$AE$4-1),生データ!$D:$O,COLUMN(H2),TRUE),""),"")</f>
        <v/>
      </c>
      <c r="AG7" s="35" t="str">
        <f ca="1">IFERROR(IF(INDEX(生データ!$D:$D,MATCH(OFFSET($D$22,$Z7-1,$AE$4-1),生データ!$D:$D,1))=OFFSET($D$22,$Z7-1,$AE$4-1),VLOOKUP(OFFSET($D$22,$Z7-1,$AE$4-1),生データ!$D:$O,COLUMN(I2),TRUE),""),"")</f>
        <v/>
      </c>
      <c r="AH7" s="35" t="str">
        <f ca="1">IFERROR(IF(INDEX(生データ!$D:$D,MATCH(OFFSET($D$22,$Z7-1,$AE$4-1),生データ!$D:$D,1))=OFFSET($D$22,$Z7-1,$AE$4-1),VLOOKUP(OFFSET($D$22,$Z7-1,$AE$4-1),生データ!$D:$O,COLUMN(J2),TRUE),""),"")</f>
        <v/>
      </c>
      <c r="AI7" s="35" t="str">
        <f ca="1">IFERROR(IF(INDEX(生データ!$D:$D,MATCH(OFFSET($D$22,$Z7-1,$AE$4-1),生データ!$D:$D,1))=OFFSET($D$22,$Z7-1,$AE$4-1),VLOOKUP(OFFSET($D$22,$Z7-1,$AE$4-1),生データ!$D:$O,COLUMN(K2),TRUE),""),"")</f>
        <v/>
      </c>
      <c r="AJ7" s="35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52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52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52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52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52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52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4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5">
        <v>3</v>
      </c>
      <c r="AA8" s="35" t="str">
        <f ca="1">IFERROR(IF(INDEX(生データ!$D:$D,MATCH(OFFSET($D$22,$Z8-1,$AE$4-1),生データ!$D:$D,1))=OFFSET($D$22,$Z8-1,$AE$4-1),VLOOKUP(OFFSET($D$22,$Z8-1,$AE$4-1),生データ!$D:$O,COLUMN(C3),TRUE),""),"")</f>
        <v/>
      </c>
      <c r="AB8" s="35" t="str">
        <f ca="1">IFERROR(IF(INDEX(生データ!$D:$D,MATCH(OFFSET($D$22,$Z8-1,$AE$4-1),生データ!$D:$D,1))=OFFSET($D$22,$Z8-1,$AE$4-1),VLOOKUP(OFFSET($D$22,$Z8-1,$AE$4-1),生データ!$D:$O,COLUMN(D3),TRUE),""),"")</f>
        <v/>
      </c>
      <c r="AC8" s="35" t="str">
        <f ca="1">IFERROR(IF(INDEX(生データ!$D:$D,MATCH(OFFSET($D$22,$Z8-1,$AE$4-1),生データ!$D:$D,1))=OFFSET($D$22,$Z8-1,$AE$4-1),VLOOKUP(OFFSET($D$22,$Z8-1,$AE$4-1),生データ!$D:$O,COLUMN(E3),TRUE),""),"")</f>
        <v/>
      </c>
      <c r="AD8" s="35" t="str">
        <f ca="1">IFERROR(IF(INDEX(生データ!$D:$D,MATCH(OFFSET($D$22,$Z8-1,$AE$4-1),生データ!$D:$D,1))=OFFSET($D$22,$Z8-1,$AE$4-1),VLOOKUP(OFFSET($D$22,$Z8-1,$AE$4-1),生データ!$D:$O,COLUMN(F3),TRUE),""),"")</f>
        <v/>
      </c>
      <c r="AE8" s="35" t="str">
        <f ca="1">IFERROR(IF(INDEX(生データ!$D:$D,MATCH(OFFSET($D$22,$Z8-1,$AE$4-1),生データ!$D:$D,1))=OFFSET($D$22,$Z8-1,$AE$4-1),VLOOKUP(OFFSET($D$22,$Z8-1,$AE$4-1),生データ!$D:$O,COLUMN(G3),TRUE),""),"")</f>
        <v/>
      </c>
      <c r="AF8" s="35" t="str">
        <f ca="1">IFERROR(IF(INDEX(生データ!$D:$D,MATCH(OFFSET($D$22,$Z8-1,$AE$4-1),生データ!$D:$D,1))=OFFSET($D$22,$Z8-1,$AE$4-1),VLOOKUP(OFFSET($D$22,$Z8-1,$AE$4-1),生データ!$D:$O,COLUMN(H3),TRUE),""),"")</f>
        <v/>
      </c>
      <c r="AG8" s="35" t="str">
        <f ca="1">IFERROR(IF(INDEX(生データ!$D:$D,MATCH(OFFSET($D$22,$Z8-1,$AE$4-1),生データ!$D:$D,1))=OFFSET($D$22,$Z8-1,$AE$4-1),VLOOKUP(OFFSET($D$22,$Z8-1,$AE$4-1),生データ!$D:$O,COLUMN(I3),TRUE),""),"")</f>
        <v/>
      </c>
      <c r="AH8" s="35" t="str">
        <f ca="1">IFERROR(IF(INDEX(生データ!$D:$D,MATCH(OFFSET($D$22,$Z8-1,$AE$4-1),生データ!$D:$D,1))=OFFSET($D$22,$Z8-1,$AE$4-1),VLOOKUP(OFFSET($D$22,$Z8-1,$AE$4-1),生データ!$D:$O,COLUMN(J3),TRUE),""),"")</f>
        <v/>
      </c>
      <c r="AI8" s="35" t="str">
        <f ca="1">IFERROR(IF(INDEX(生データ!$D:$D,MATCH(OFFSET($D$22,$Z8-1,$AE$4-1),生データ!$D:$D,1))=OFFSET($D$22,$Z8-1,$AE$4-1),VLOOKUP(OFFSET($D$22,$Z8-1,$AE$4-1),生データ!$D:$O,COLUMN(K3),TRUE),""),"")</f>
        <v/>
      </c>
      <c r="AJ8" s="35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5">
        <v>4</v>
      </c>
      <c r="AA9" s="35" t="str">
        <f ca="1">IFERROR(IF(INDEX(生データ!$D:$D,MATCH(OFFSET($D$22,$Z9-1,$AE$4-1),生データ!$D:$D,1))=OFFSET($D$22,$Z9-1,$AE$4-1),VLOOKUP(OFFSET($D$22,$Z9-1,$AE$4-1),生データ!$D:$O,COLUMN(C4),TRUE),""),"")</f>
        <v/>
      </c>
      <c r="AB9" s="35" t="str">
        <f ca="1">IFERROR(IF(INDEX(生データ!$D:$D,MATCH(OFFSET($D$22,$Z9-1,$AE$4-1),生データ!$D:$D,1))=OFFSET($D$22,$Z9-1,$AE$4-1),VLOOKUP(OFFSET($D$22,$Z9-1,$AE$4-1),生データ!$D:$O,COLUMN(D4),TRUE),""),"")</f>
        <v/>
      </c>
      <c r="AC9" s="35" t="str">
        <f ca="1">IFERROR(IF(INDEX(生データ!$D:$D,MATCH(OFFSET($D$22,$Z9-1,$AE$4-1),生データ!$D:$D,1))=OFFSET($D$22,$Z9-1,$AE$4-1),VLOOKUP(OFFSET($D$22,$Z9-1,$AE$4-1),生データ!$D:$O,COLUMN(E4),TRUE),""),"")</f>
        <v/>
      </c>
      <c r="AD9" s="35" t="str">
        <f ca="1">IFERROR(IF(INDEX(生データ!$D:$D,MATCH(OFFSET($D$22,$Z9-1,$AE$4-1),生データ!$D:$D,1))=OFFSET($D$22,$Z9-1,$AE$4-1),VLOOKUP(OFFSET($D$22,$Z9-1,$AE$4-1),生データ!$D:$O,COLUMN(F4),TRUE),""),"")</f>
        <v/>
      </c>
      <c r="AE9" s="35" t="str">
        <f ca="1">IFERROR(IF(INDEX(生データ!$D:$D,MATCH(OFFSET($D$22,$Z9-1,$AE$4-1),生データ!$D:$D,1))=OFFSET($D$22,$Z9-1,$AE$4-1),VLOOKUP(OFFSET($D$22,$Z9-1,$AE$4-1),生データ!$D:$O,COLUMN(G4),TRUE),""),"")</f>
        <v/>
      </c>
      <c r="AF9" s="35" t="str">
        <f ca="1">IFERROR(IF(INDEX(生データ!$D:$D,MATCH(OFFSET($D$22,$Z9-1,$AE$4-1),生データ!$D:$D,1))=OFFSET($D$22,$Z9-1,$AE$4-1),VLOOKUP(OFFSET($D$22,$Z9-1,$AE$4-1),生データ!$D:$O,COLUMN(H4),TRUE),""),"")</f>
        <v/>
      </c>
      <c r="AG9" s="35" t="str">
        <f ca="1">IFERROR(IF(INDEX(生データ!$D:$D,MATCH(OFFSET($D$22,$Z9-1,$AE$4-1),生データ!$D:$D,1))=OFFSET($D$22,$Z9-1,$AE$4-1),VLOOKUP(OFFSET($D$22,$Z9-1,$AE$4-1),生データ!$D:$O,COLUMN(I4),TRUE),""),"")</f>
        <v/>
      </c>
      <c r="AH9" s="35" t="str">
        <f ca="1">IFERROR(IF(INDEX(生データ!$D:$D,MATCH(OFFSET($D$22,$Z9-1,$AE$4-1),生データ!$D:$D,1))=OFFSET($D$22,$Z9-1,$AE$4-1),VLOOKUP(OFFSET($D$22,$Z9-1,$AE$4-1),生データ!$D:$O,COLUMN(J4),TRUE),""),"")</f>
        <v/>
      </c>
      <c r="AI9" s="35" t="str">
        <f ca="1">IFERROR(IF(INDEX(生データ!$D:$D,MATCH(OFFSET($D$22,$Z9-1,$AE$4-1),生データ!$D:$D,1))=OFFSET($D$22,$Z9-1,$AE$4-1),VLOOKUP(OFFSET($D$22,$Z9-1,$AE$4-1),生データ!$D:$O,COLUMN(K4),TRUE),""),"")</f>
        <v/>
      </c>
      <c r="AJ9" s="35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5">
        <v>5</v>
      </c>
      <c r="AA10" s="35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5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5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5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5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5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5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5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5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5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B12" t="e">
        <f>se</f>
        <v>#NAME?</v>
      </c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5">
        <v>2</v>
      </c>
      <c r="U14" s="38"/>
      <c r="V14" s="39" t="s">
        <v>68</v>
      </c>
      <c r="W14" s="39"/>
      <c r="X14" s="40"/>
    </row>
    <row r="15" spans="1:36" ht="30" customHeight="1" x14ac:dyDescent="0.7">
      <c r="B15" s="3"/>
      <c r="T15" s="46"/>
      <c r="U15" s="42"/>
      <c r="V15" s="42"/>
      <c r="W15" s="42"/>
      <c r="X15" s="43"/>
    </row>
    <row r="16" spans="1:36" ht="29.45" customHeight="1" x14ac:dyDescent="0.7">
      <c r="T16" s="47" t="s">
        <v>64</v>
      </c>
      <c r="U16" s="44"/>
      <c r="V16" s="44"/>
      <c r="W16" s="44"/>
      <c r="X16" s="45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20191112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2019111211</v>
      </c>
      <c r="E22" s="3">
        <f t="shared" ref="E22:J22" ca="1" si="0">$C$21*100+E$21*10+$C22</f>
        <v>2019111221</v>
      </c>
      <c r="F22" s="3">
        <f t="shared" ca="1" si="0"/>
        <v>2019111231</v>
      </c>
      <c r="G22" s="3">
        <f t="shared" ca="1" si="0"/>
        <v>2019111241</v>
      </c>
      <c r="H22" s="3">
        <f t="shared" ca="1" si="0"/>
        <v>2019111251</v>
      </c>
      <c r="I22" s="3">
        <f t="shared" ca="1" si="0"/>
        <v>2019111261</v>
      </c>
      <c r="J22" s="3">
        <f t="shared" ca="1" si="0"/>
        <v>2019111271</v>
      </c>
    </row>
    <row r="23" spans="3:10" hidden="1" x14ac:dyDescent="0.7">
      <c r="C23" s="3">
        <v>2</v>
      </c>
      <c r="D23" s="3">
        <f t="shared" ref="D23:J26" ca="1" si="1">$C$21*100+D$21*10+$C23</f>
        <v>2019111212</v>
      </c>
      <c r="E23" s="3">
        <f t="shared" ca="1" si="1"/>
        <v>2019111222</v>
      </c>
      <c r="F23" s="3">
        <f t="shared" ca="1" si="1"/>
        <v>2019111232</v>
      </c>
      <c r="G23" s="3">
        <f t="shared" ca="1" si="1"/>
        <v>2019111242</v>
      </c>
      <c r="H23" s="3">
        <f t="shared" ca="1" si="1"/>
        <v>2019111252</v>
      </c>
      <c r="I23" s="3">
        <f t="shared" ca="1" si="1"/>
        <v>2019111262</v>
      </c>
      <c r="J23" s="3">
        <f t="shared" ca="1" si="1"/>
        <v>2019111272</v>
      </c>
    </row>
    <row r="24" spans="3:10" hidden="1" x14ac:dyDescent="0.7">
      <c r="C24" s="3">
        <v>3</v>
      </c>
      <c r="D24" s="3">
        <f t="shared" ca="1" si="1"/>
        <v>2019111213</v>
      </c>
      <c r="E24" s="3">
        <f t="shared" ca="1" si="1"/>
        <v>2019111223</v>
      </c>
      <c r="F24" s="3">
        <f t="shared" ca="1" si="1"/>
        <v>2019111233</v>
      </c>
      <c r="G24" s="3">
        <f t="shared" ca="1" si="1"/>
        <v>2019111243</v>
      </c>
      <c r="H24" s="3">
        <f t="shared" ca="1" si="1"/>
        <v>2019111253</v>
      </c>
      <c r="I24" s="3">
        <f t="shared" ca="1" si="1"/>
        <v>2019111263</v>
      </c>
      <c r="J24" s="3">
        <f t="shared" ca="1" si="1"/>
        <v>2019111273</v>
      </c>
    </row>
    <row r="25" spans="3:10" hidden="1" x14ac:dyDescent="0.7">
      <c r="C25" s="3">
        <v>4</v>
      </c>
      <c r="D25" s="3">
        <f t="shared" ca="1" si="1"/>
        <v>2019111214</v>
      </c>
      <c r="E25" s="3">
        <f t="shared" ca="1" si="1"/>
        <v>2019111224</v>
      </c>
      <c r="F25" s="3">
        <f t="shared" ca="1" si="1"/>
        <v>2019111234</v>
      </c>
      <c r="G25" s="3">
        <f t="shared" ca="1" si="1"/>
        <v>2019111244</v>
      </c>
      <c r="H25" s="3">
        <f t="shared" ca="1" si="1"/>
        <v>2019111254</v>
      </c>
      <c r="I25" s="3">
        <f t="shared" ca="1" si="1"/>
        <v>2019111264</v>
      </c>
      <c r="J25" s="3">
        <f t="shared" ca="1" si="1"/>
        <v>2019111274</v>
      </c>
    </row>
    <row r="26" spans="3:10" hidden="1" x14ac:dyDescent="0.7">
      <c r="C26" s="3">
        <v>5</v>
      </c>
      <c r="D26" s="3">
        <f t="shared" ca="1" si="1"/>
        <v>2019111215</v>
      </c>
      <c r="E26" s="3">
        <f t="shared" ca="1" si="1"/>
        <v>2019111225</v>
      </c>
      <c r="F26" s="3">
        <f t="shared" ca="1" si="1"/>
        <v>2019111235</v>
      </c>
      <c r="G26" s="3">
        <f t="shared" ca="1" si="1"/>
        <v>2019111245</v>
      </c>
      <c r="H26" s="3">
        <f t="shared" ca="1" si="1"/>
        <v>2019111255</v>
      </c>
      <c r="I26" s="3">
        <f t="shared" ca="1" si="1"/>
        <v>2019111265</v>
      </c>
      <c r="J26" s="3">
        <f t="shared" ca="1" si="1"/>
        <v>2019111275</v>
      </c>
    </row>
  </sheetData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13</xdr:col>
                    <xdr:colOff>176213</xdr:colOff>
                    <xdr:row>12</xdr:row>
                    <xdr:rowOff>133350</xdr:rowOff>
                  </from>
                  <to>
                    <xdr:col>15</xdr:col>
                    <xdr:colOff>328613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13</xdr:col>
                    <xdr:colOff>171450</xdr:colOff>
                    <xdr:row>13</xdr:row>
                    <xdr:rowOff>342900</xdr:rowOff>
                  </from>
                  <to>
                    <xdr:col>15</xdr:col>
                    <xdr:colOff>314325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1</v>
      </c>
    </row>
    <row r="2" spans="1:1" ht="180" customHeight="1" x14ac:dyDescent="0.7">
      <c r="A2">
        <v>2</v>
      </c>
    </row>
    <row r="3" spans="1:1" ht="180" customHeight="1" x14ac:dyDescent="0.7">
      <c r="A3">
        <v>3</v>
      </c>
    </row>
    <row r="4" spans="1:1" ht="180" customHeight="1" x14ac:dyDescent="0.7">
      <c r="A4">
        <v>4</v>
      </c>
    </row>
    <row r="5" spans="1:1" ht="180" customHeight="1" x14ac:dyDescent="0.7">
      <c r="A5">
        <v>5</v>
      </c>
    </row>
    <row r="6" spans="1:1" ht="180" customHeight="1" x14ac:dyDescent="0.7">
      <c r="A6">
        <v>6</v>
      </c>
    </row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A8" sqref="A8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90</v>
      </c>
    </row>
    <row r="2" spans="1:12" x14ac:dyDescent="0.7">
      <c r="A2" s="26">
        <v>1</v>
      </c>
      <c r="B2" s="26"/>
      <c r="C2" s="26"/>
      <c r="D2" s="26" t="s">
        <v>91</v>
      </c>
      <c r="E2" s="26"/>
      <c r="F2" s="26"/>
      <c r="G2" s="26">
        <v>1907</v>
      </c>
      <c r="H2" s="26"/>
      <c r="I2" s="26"/>
      <c r="J2" s="26"/>
      <c r="K2" s="26"/>
      <c r="L2" s="26"/>
    </row>
    <row r="3" spans="1:12" x14ac:dyDescent="0.7">
      <c r="A3" s="26">
        <v>2</v>
      </c>
      <c r="B3" s="26"/>
      <c r="C3" s="26"/>
      <c r="D3" s="26" t="s">
        <v>92</v>
      </c>
      <c r="E3" s="37"/>
      <c r="F3" s="26"/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/>
      <c r="C4" s="26"/>
      <c r="D4" s="26" t="s">
        <v>93</v>
      </c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/>
      <c r="C5" s="26"/>
      <c r="D5" s="26" t="s">
        <v>94</v>
      </c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>
        <v>5</v>
      </c>
      <c r="B6" s="26"/>
      <c r="C6" s="26"/>
      <c r="D6" s="26" t="s">
        <v>95</v>
      </c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>
        <v>6</v>
      </c>
      <c r="B7" s="26"/>
      <c r="C7" s="26"/>
      <c r="D7" s="26" t="s">
        <v>96</v>
      </c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9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2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94" spans="6:35" s="16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8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9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5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1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5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1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5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1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5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1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5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1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19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5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3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1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3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6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</sheetData>
  <sortState xmlns:xlrd2="http://schemas.microsoft.com/office/spreadsheetml/2017/richdata2" ref="A2:AA232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20191112</v>
      </c>
      <c r="B1">
        <v>20191112</v>
      </c>
    </row>
    <row r="2" spans="1:2" s="26" customFormat="1" x14ac:dyDescent="0.7">
      <c r="A2" s="26">
        <v>342599567</v>
      </c>
      <c r="B2" s="26">
        <v>3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4"/>
  <sheetViews>
    <sheetView workbookViewId="0">
      <selection activeCell="K29" sqref="K29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2" customFormat="1" x14ac:dyDescent="0.7">
      <c r="A30" s="24">
        <v>43781.778506944444</v>
      </c>
      <c r="B30" s="24">
        <v>43781.820138888892</v>
      </c>
      <c r="C30" s="22">
        <v>1</v>
      </c>
    </row>
    <row r="31" spans="1:13" s="22" customFormat="1" x14ac:dyDescent="0.7">
      <c r="A31" s="24">
        <v>43781.75</v>
      </c>
      <c r="B31" s="24">
        <v>43781.833333333336</v>
      </c>
      <c r="C31" s="22">
        <v>5</v>
      </c>
    </row>
    <row r="32" spans="1:13" s="22" customFormat="1" x14ac:dyDescent="0.7">
      <c r="A32" s="24"/>
      <c r="B32" s="24"/>
    </row>
    <row r="33" spans="1:2" s="22" customFormat="1" x14ac:dyDescent="0.7">
      <c r="A33" s="24"/>
      <c r="B33" s="24"/>
    </row>
    <row r="34" spans="1:2" s="22" customFormat="1" x14ac:dyDescent="0.7">
      <c r="A34" s="24"/>
      <c r="B34" s="24"/>
    </row>
    <row r="35" spans="1:2" s="22" customFormat="1" x14ac:dyDescent="0.7">
      <c r="A35" s="24"/>
      <c r="B35" s="24"/>
    </row>
    <row r="36" spans="1:2" s="22" customFormat="1" x14ac:dyDescent="0.7">
      <c r="A36" s="24"/>
      <c r="B36" s="24"/>
    </row>
    <row r="37" spans="1:2" s="22" customFormat="1" x14ac:dyDescent="0.7">
      <c r="A37" s="24"/>
      <c r="B37" s="24"/>
    </row>
    <row r="38" spans="1:2" s="22" customFormat="1" x14ac:dyDescent="0.7">
      <c r="A38" s="24"/>
      <c r="B38" s="24"/>
    </row>
    <row r="39" spans="1:2" s="22" customFormat="1" x14ac:dyDescent="0.7">
      <c r="A39" s="24"/>
      <c r="B39" s="24"/>
    </row>
    <row r="40" spans="1:2" s="22" customFormat="1" x14ac:dyDescent="0.7">
      <c r="A40" s="24"/>
      <c r="B40" s="24"/>
    </row>
    <row r="41" spans="1:2" s="22" customFormat="1" x14ac:dyDescent="0.7">
      <c r="A41" s="24"/>
      <c r="B41" s="24"/>
    </row>
    <row r="42" spans="1:2" s="22" customFormat="1" x14ac:dyDescent="0.7">
      <c r="A42" s="24"/>
      <c r="B42" s="24"/>
    </row>
    <row r="43" spans="1:2" s="22" customFormat="1" x14ac:dyDescent="0.7">
      <c r="A43" s="24"/>
      <c r="B43" s="24"/>
    </row>
    <row r="44" spans="1:2" s="22" customFormat="1" x14ac:dyDescent="0.7">
      <c r="A44" s="24"/>
      <c r="B44" s="24"/>
    </row>
    <row r="45" spans="1:2" s="22" customFormat="1" x14ac:dyDescent="0.7">
      <c r="A45" s="24"/>
      <c r="B45" s="24"/>
    </row>
    <row r="46" spans="1:2" s="22" customFormat="1" x14ac:dyDescent="0.7">
      <c r="A46" s="24"/>
      <c r="B46" s="24"/>
    </row>
    <row r="47" spans="1:2" s="22" customFormat="1" x14ac:dyDescent="0.7">
      <c r="A47" s="24"/>
      <c r="B47" s="24"/>
    </row>
    <row r="48" spans="1:2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x14ac:dyDescent="0.7">
      <c r="A53" s="4"/>
      <c r="C53" s="3"/>
      <c r="D53" s="3"/>
    </row>
    <row r="54" spans="1:4" s="22" customFormat="1" x14ac:dyDescent="0.7">
      <c r="A54" s="4"/>
      <c r="B54" s="2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x14ac:dyDescent="0.7">
      <c r="A72" s="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s="22" customFormat="1" x14ac:dyDescent="0.7">
      <c r="A77" s="4"/>
      <c r="B77" s="2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24"/>
      <c r="B89" s="24"/>
      <c r="C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</sheetData>
  <sortState xmlns:xlrd2="http://schemas.microsoft.com/office/spreadsheetml/2017/richdata2" ref="A2:C144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7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/>
    <row r="3" spans="1:1" s="26" customFormat="1" x14ac:dyDescent="0.7"/>
    <row r="5" spans="1:1" s="26" customFormat="1" x14ac:dyDescent="0.7"/>
    <row r="7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2019-11-12T09:53:12Z</dcterms:modified>
</cp:coreProperties>
</file>