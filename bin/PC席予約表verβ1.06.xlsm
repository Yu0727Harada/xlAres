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8D8B974A-1770-4019-90A3-88BC0227381B}" xr6:coauthVersionLast="41" xr6:coauthVersionMax="41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K2" i="4"/>
  <c r="C13" i="4" l="1"/>
  <c r="C12" i="4"/>
  <c r="AC2" i="4"/>
  <c r="AE4" i="4" l="1"/>
  <c r="C21" i="4"/>
  <c r="E22" i="4" s="1"/>
  <c r="D4" i="4"/>
  <c r="D23" i="4" l="1"/>
  <c r="F22" i="4"/>
  <c r="E4" i="4" s="1"/>
  <c r="J24" i="4"/>
  <c r="G24" i="4"/>
  <c r="F26" i="4"/>
  <c r="E8" i="4" s="1"/>
  <c r="H23" i="4"/>
  <c r="G5" i="4" s="1"/>
  <c r="I25" i="4"/>
  <c r="E23" i="4"/>
  <c r="D5" i="4" s="1"/>
  <c r="D24" i="4"/>
  <c r="J26" i="4"/>
  <c r="I8" i="4" s="1"/>
  <c r="H25" i="4"/>
  <c r="F24" i="4"/>
  <c r="J22" i="4"/>
  <c r="I4" i="4" s="1"/>
  <c r="G26" i="4"/>
  <c r="F8" i="4" s="1"/>
  <c r="E25" i="4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F7" i="4" s="1"/>
  <c r="I24" i="4"/>
  <c r="E24" i="4"/>
  <c r="D6" i="4" s="1"/>
  <c r="G23" i="4"/>
  <c r="F5" i="4" s="1"/>
  <c r="I22" i="4"/>
  <c r="I5" i="4"/>
  <c r="C5" i="4"/>
  <c r="D7" i="4"/>
  <c r="F6" i="4"/>
  <c r="E6" i="4"/>
  <c r="H6" i="4"/>
  <c r="I6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G8" i="4"/>
  <c r="G7" i="4"/>
  <c r="H5" i="4"/>
  <c r="H4" i="4"/>
  <c r="C6" i="4"/>
  <c r="G6" i="4"/>
  <c r="H7" i="4"/>
</calcChain>
</file>

<file path=xl/sharedStrings.xml><?xml version="1.0" encoding="utf-8"?>
<sst xmlns="http://schemas.openxmlformats.org/spreadsheetml/2006/main" count="124" uniqueCount="96">
  <si>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</si>
  <si>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</si>
  <si>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</si>
  <si>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</si>
  <si>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</si>
  <si>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</si>
  <si>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</si>
  <si>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</si>
  <si>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</si>
  <si>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</si>
  <si>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</si>
  <si>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</si>
  <si>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</si>
  <si>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</si>
  <si>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</si>
  <si>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</si>
  <si>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</si>
  <si>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</si>
  <si>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</si>
  <si>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</si>
  <si>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</si>
  <si>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</si>
  <si>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</si>
  <si>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</si>
  <si>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</si>
  <si>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</si>
  <si>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</si>
  <si>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</si>
  <si>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</si>
  <si>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</si>
  <si>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</si>
  <si>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</si>
  <si>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</si>
  <si>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</si>
  <si>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</si>
  <si>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</si>
  <si>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</si>
  <si>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</si>
  <si>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</si>
  <si>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</si>
  <si>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</si>
  <si>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</si>
  <si>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</si>
  <si>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</si>
  <si>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</si>
  <si>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</si>
  <si>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</si>
  <si>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</si>
  <si>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</si>
  <si>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</si>
  <si>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</si>
  <si>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</si>
  <si>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</si>
  <si>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</si>
  <si>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</si>
  <si>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</si>
  <si>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</si>
  <si>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</si>
  <si>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</si>
  <si>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</si>
  <si>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</si>
  <si>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</si>
  <si>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</si>
  <si>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</si>
  <si>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</si>
  <si>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</si>
  <si>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</si>
  <si>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</si>
  <si>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</si>
  <si>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</si>
  <si>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</si>
  <si>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</si>
  <si>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</si>
  <si>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</si>
  <si>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</si>
  <si>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</si>
  <si>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</si>
  <si>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</si>
  <si>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</si>
  <si>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</si>
  <si>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</si>
  <si>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</si>
  <si>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</si>
  <si>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</si>
  <si>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</si>
  <si>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</si>
  <si>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</si>
  <si>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</si>
  <si>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</si>
  <si>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</si>
  <si>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</si>
  <si>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test</t>
    <phoneticPr fontId="1"/>
  </si>
  <si>
    <t>\Noimage.png</t>
  </si>
  <si>
    <t>testest</t>
    <phoneticPr fontId="1"/>
  </si>
  <si>
    <t>on</t>
    <phoneticPr fontId="1"/>
  </si>
  <si>
    <t>off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</si>
</sst>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04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3" fillId="0" borderId="0" xfId="0" applyNumberFormat="1" applyFo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6</xdr:row>
          <xdr:rowOff>433388</xdr:rowOff>
        </xdr:from>
        <xdr:to>
          <xdr:col>18</xdr:col>
          <xdr:colOff>333375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604838</xdr:colOff>
          <xdr:row>3</xdr:row>
          <xdr:rowOff>57150</xdr:rowOff>
        </xdr:from>
        <xdr:to>
          <xdr:col>18</xdr:col>
          <xdr:colOff>290513</xdr:colOff>
          <xdr:row>4</xdr:row>
          <xdr:rowOff>28575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142875</xdr:rowOff>
        </xdr:from>
        <xdr:to>
          <xdr:col>23</xdr:col>
          <xdr:colOff>542925</xdr:colOff>
          <xdr:row>4</xdr:row>
          <xdr:rowOff>771525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614363</xdr:colOff>
          <xdr:row>7</xdr:row>
          <xdr:rowOff>571500</xdr:rowOff>
        </xdr:from>
        <xdr:to>
          <xdr:col>18</xdr:col>
          <xdr:colOff>314325</xdr:colOff>
          <xdr:row>9</xdr:row>
          <xdr:rowOff>309563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5034" y="928642"/>
          <a:ext cx="9419166" cy="4829221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3025" y="970564"/>
          <a:ext cx="9401175" cy="4803175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7200" y="1304925"/>
          <a:ext cx="882111" cy="4477787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595142" y="1305983"/>
          <a:ext cx="2600046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16035" y="7220580"/>
          <a:ext cx="2885658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28575</xdr:rowOff>
        </xdr:from>
        <xdr:to>
          <xdr:col>24</xdr:col>
          <xdr:colOff>495300</xdr:colOff>
          <xdr:row>19</xdr:row>
          <xdr:rowOff>209550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566738</xdr:colOff>
          <xdr:row>5</xdr:row>
          <xdr:rowOff>366713</xdr:rowOff>
        </xdr:from>
        <xdr:to>
          <xdr:col>18</xdr:col>
          <xdr:colOff>314325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85725</xdr:rowOff>
        </xdr:from>
        <xdr:to>
          <xdr:col>23</xdr:col>
          <xdr:colOff>576263</xdr:colOff>
          <xdr:row>15</xdr:row>
          <xdr:rowOff>261938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33338</xdr:rowOff>
        </xdr:from>
        <xdr:to>
          <xdr:col>15</xdr:col>
          <xdr:colOff>133350</xdr:colOff>
          <xdr:row>3</xdr:row>
          <xdr:rowOff>428625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</xdr:row>
          <xdr:rowOff>571500</xdr:rowOff>
        </xdr:from>
        <xdr:to>
          <xdr:col>15</xdr:col>
          <xdr:colOff>200025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190500</xdr:rowOff>
        </xdr:from>
        <xdr:to>
          <xdr:col>15</xdr:col>
          <xdr:colOff>200025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</xdr:row>
          <xdr:rowOff>733425</xdr:rowOff>
        </xdr:from>
        <xdr:to>
          <xdr:col>15</xdr:col>
          <xdr:colOff>185738</xdr:colOff>
          <xdr:row>5</xdr:row>
          <xdr:rowOff>238125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352425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757238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314325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1009650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157163</xdr:rowOff>
        </xdr:from>
        <xdr:to>
          <xdr:col>15</xdr:col>
          <xdr:colOff>161925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995364</xdr:colOff>
          <xdr:row>11</xdr:row>
          <xdr:rowOff>333375</xdr:rowOff>
        </xdr:from>
        <xdr:to>
          <xdr:col>14</xdr:col>
          <xdr:colOff>561976</xdr:colOff>
          <xdr:row>12</xdr:row>
          <xdr:rowOff>285750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233363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561975</xdr:colOff>
          <xdr:row>13</xdr:row>
          <xdr:rowOff>371475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133350</xdr:rowOff>
        </xdr:from>
        <xdr:to>
          <xdr:col>18</xdr:col>
          <xdr:colOff>280988</xdr:colOff>
          <xdr:row>4</xdr:row>
          <xdr:rowOff>885825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57150</xdr:rowOff>
        </xdr:from>
        <xdr:to>
          <xdr:col>23</xdr:col>
          <xdr:colOff>490538</xdr:colOff>
          <xdr:row>9</xdr:row>
          <xdr:rowOff>109538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985838</xdr:colOff>
          <xdr:row>14</xdr:row>
          <xdr:rowOff>142875</xdr:rowOff>
        </xdr:from>
        <xdr:to>
          <xdr:col>14</xdr:col>
          <xdr:colOff>542925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61914</xdr:colOff>
          <xdr:row>12</xdr:row>
          <xdr:rowOff>19050</xdr:rowOff>
        </xdr:from>
        <xdr:to>
          <xdr:col>17</xdr:col>
          <xdr:colOff>657225</xdr:colOff>
          <xdr:row>12</xdr:row>
          <xdr:rowOff>361950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7E7605C2-48FE-4250-9C86-1A9FADE18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31" name="Picture 783">
          <a:extLst>
            <a:ext uri="{FF2B5EF4-FFF2-40B4-BE49-F238E27FC236}">
              <a16:creationId xmlns:a16="http://schemas.microsoft.com/office/drawing/2014/main" id="{75F2E531-51D5-4367-9649-B3B0B2C4B1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195513"/>
          <a:ext cx="3109913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1397317</xdr:colOff>
      <xdr:row>0</xdr:row>
      <xdr:rowOff>45720</xdr:rowOff>
    </xdr:from>
    <xdr:to>
      <xdr:col>1</xdr:col>
      <xdr:colOff>2949892</xdr:colOff>
      <xdr:row>0</xdr:row>
      <xdr:rowOff>1760220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083117" y="4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0</xdr:colOff>
      <xdr:row>1</xdr:row>
      <xdr:rowOff>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85800" y="125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0</xdr:row>
      <xdr:rowOff>114300</xdr:rowOff>
    </xdr:from>
    <xdr:to>
      <xdr:col>1</xdr:col>
      <xdr:colOff>1217485</xdr:colOff>
      <xdr:row>0</xdr:row>
      <xdr:rowOff>1263204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114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1</xdr:row>
      <xdr:rowOff>45720</xdr:rowOff>
    </xdr:from>
    <xdr:to>
      <xdr:col>1</xdr:col>
      <xdr:colOff>2949892</xdr:colOff>
      <xdr:row>1</xdr:row>
      <xdr:rowOff>1760220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083117" y="2331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0</xdr:colOff>
      <xdr:row>2</xdr:row>
      <xdr:rowOff>0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685800" y="3543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1</xdr:row>
      <xdr:rowOff>114300</xdr:rowOff>
    </xdr:from>
    <xdr:to>
      <xdr:col>1</xdr:col>
      <xdr:colOff>1217485</xdr:colOff>
      <xdr:row>1</xdr:row>
      <xdr:rowOff>1263204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2400300"/>
          <a:ext cx="1148905" cy="1148904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142875</xdr:rowOff>
        </xdr:from>
        <xdr:to>
          <xdr:col>8</xdr:col>
          <xdr:colOff>581025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371475</xdr:colOff>
          <xdr:row>0</xdr:row>
          <xdr:rowOff>85725</xdr:rowOff>
        </xdr:from>
        <xdr:to>
          <xdr:col>5</xdr:col>
          <xdr:colOff>485775</xdr:colOff>
          <xdr:row>2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topLeftCell="E1" colorId="63" zoomScaleNormal="100" workbookViewId="0">
      <selection activeCell="B12" sqref="B12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625" customWidth="1"/>
    <col min="36" max="36" width="11.5625" customWidth="1"/>
  </cols>
  <sheetData>
    <row r="1" spans="1:36" ht="30.95" customHeight="1" x14ac:dyDescent="1">
      <c r="B1" s="9"/>
      <c r="C1" s="20"/>
      <c r="K1" s="31" t="s">
        <v>22</v>
      </c>
      <c r="L1" s="32" t="s">
        <v>65</v>
      </c>
    </row>
    <row r="2" spans="1:36" ht="46.9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49">
        <f ca="1">TODAY()+1</f>
        <v>43788</v>
      </c>
      <c r="L2" s="50">
        <f ca="1">NOW()-INT(NOW())</f>
        <v>0.81513599536992842</v>
      </c>
      <c r="N2" s="47" t="s">
        <v>85</v>
      </c>
      <c r="U2" s="40"/>
      <c r="AA2" s="37" t="s">
        <v>72</v>
      </c>
      <c r="AB2" s="38"/>
      <c r="AC2" s="34">
        <f ca="1">setting_time(L2)</f>
        <v>8</v>
      </c>
    </row>
    <row r="3" spans="1:36" ht="25.1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9"/>
      <c r="L3" s="50"/>
      <c r="N3" s="51" t="s">
        <v>86</v>
      </c>
      <c r="O3" s="51"/>
      <c r="P3" s="12"/>
      <c r="Q3" t="s">
        <v>87</v>
      </c>
      <c r="T3" t="s">
        <v>88</v>
      </c>
    </row>
    <row r="4" spans="1:36" ht="70.150000000000006" customHeight="1" x14ac:dyDescent="0.7">
      <c r="A4" s="10"/>
      <c r="B4" s="13">
        <v>1</v>
      </c>
      <c r="C4" s="48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8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8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8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8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8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8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4" t="s">
        <v>94</v>
      </c>
      <c r="U4" s="37"/>
      <c r="V4" s="38"/>
      <c r="W4" s="38"/>
      <c r="X4" s="39"/>
      <c r="Z4" s="37" t="s">
        <v>73</v>
      </c>
      <c r="AA4" s="38"/>
      <c r="AB4" s="38" t="s">
        <v>74</v>
      </c>
      <c r="AC4" s="38"/>
      <c r="AD4" s="38"/>
      <c r="AE4" s="34">
        <f ca="1">AC2</f>
        <v>8</v>
      </c>
    </row>
    <row r="5" spans="1:36" ht="70.150000000000006" customHeight="1" x14ac:dyDescent="0.7">
      <c r="A5" s="27"/>
      <c r="B5" s="13">
        <v>2</v>
      </c>
      <c r="C5" s="48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8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8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8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48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8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8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4" t="s">
        <v>64</v>
      </c>
      <c r="U5" s="37"/>
      <c r="V5" s="38"/>
      <c r="W5" s="38"/>
      <c r="X5" s="39"/>
      <c r="Z5" s="34" t="s">
        <v>69</v>
      </c>
      <c r="AA5" s="34" t="s">
        <v>75</v>
      </c>
      <c r="AB5" s="34" t="s">
        <v>76</v>
      </c>
      <c r="AC5" s="34" t="s">
        <v>77</v>
      </c>
      <c r="AD5" s="34" t="s">
        <v>78</v>
      </c>
      <c r="AE5" s="34" t="s">
        <v>79</v>
      </c>
      <c r="AF5" s="34" t="s">
        <v>80</v>
      </c>
      <c r="AG5" s="34" t="s">
        <v>81</v>
      </c>
      <c r="AH5" s="34" t="s">
        <v>82</v>
      </c>
      <c r="AI5" s="34" t="s">
        <v>83</v>
      </c>
      <c r="AJ5" s="34" t="s">
        <v>84</v>
      </c>
    </row>
    <row r="6" spans="1:36" ht="70.150000000000006" customHeight="1" x14ac:dyDescent="0.7">
      <c r="A6" s="27"/>
      <c r="B6" s="13">
        <v>3</v>
      </c>
      <c r="C6" s="52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>予約済</v>
      </c>
      <c r="D6" s="48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52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>予約済
(貸出中)</v>
      </c>
      <c r="F6" s="48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48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8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8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5" t="s">
        <v>71</v>
      </c>
      <c r="Z6" s="34">
        <v>1</v>
      </c>
      <c r="AA6" s="34" t="str">
        <f ca="1">IFERROR(IF(INDEX(生データ!$D:$D,MATCH(OFFSET($D$22,$Z6-1,$AE$4-1),生データ!$D:$D,1))=OFFSET($D$22,$Z6-1,$AE$4-1),VLOOKUP(OFFSET($D$22,$Z6-1,$AE$4-1),生データ!$D:$O,COLUMN(C1),TRUE),""),"")</f>
        <v/>
      </c>
      <c r="AB6" s="34" t="str">
        <f ca="1">IFERROR(IF(INDEX(生データ!$D:$D,MATCH(OFFSET($D$22,$Z6-1,$AE$4-1),生データ!$D:$D,1))=OFFSET($D$22,$Z6-1,$AE$4-1),VLOOKUP(OFFSET($D$22,$Z6-1,$AE$4-1),生データ!$D:$O,COLUMN(D1),TRUE),""),"")</f>
        <v/>
      </c>
      <c r="AC6" s="34" t="str">
        <f ca="1">IFERROR(IF(INDEX(生データ!$D:$D,MATCH(OFFSET($D$22,$Z6-1,$AE$4-1),生データ!$D:$D,1))=OFFSET($D$22,$Z6-1,$AE$4-1),VLOOKUP(OFFSET($D$22,$Z6-1,$AE$4-1),生データ!$D:$O,COLUMN(E1),TRUE),""),"")</f>
        <v/>
      </c>
      <c r="AD6" s="34" t="str">
        <f ca="1">IFERROR(IF(INDEX(生データ!$D:$D,MATCH(OFFSET($D$22,$Z6-1,$AE$4-1),生データ!$D:$D,1))=OFFSET($D$22,$Z6-1,$AE$4-1),VLOOKUP(OFFSET($D$22,$Z6-1,$AE$4-1),生データ!$D:$O,COLUMN(F1),TRUE),""),"")</f>
        <v/>
      </c>
      <c r="AE6" s="34" t="str">
        <f ca="1">IFERROR(IF(INDEX(生データ!$D:$D,MATCH(OFFSET($D$22,$Z6-1,$AE$4-1),生データ!$D:$D,1))=OFFSET($D$22,$Z6-1,$AE$4-1),VLOOKUP(OFFSET($D$22,$Z6-1,$AE$4-1),生データ!$D:$O,COLUMN(G1),TRUE),""),"")</f>
        <v/>
      </c>
      <c r="AF6" s="34" t="str">
        <f ca="1">IFERROR(IF(INDEX(生データ!$D:$D,MATCH(OFFSET($D$22,$Z6-1,$AE$4-1),生データ!$D:$D,1))=OFFSET($D$22,$Z6-1,$AE$4-1),VLOOKUP(OFFSET($D$22,$Z6-1,$AE$4-1),生データ!$D:$O,COLUMN(H1),TRUE),""),"")</f>
        <v/>
      </c>
      <c r="AG6" s="34" t="str">
        <f ca="1">IFERROR(IF(INDEX(生データ!$D:$D,MATCH(OFFSET($D$22,$Z6-1,$AE$4-1),生データ!$D:$D,1))=OFFSET($D$22,$Z6-1,$AE$4-1),VLOOKUP(OFFSET($D$22,$Z6-1,$AE$4-1),生データ!$D:$O,COLUMN(I1),TRUE),""),"")</f>
        <v/>
      </c>
      <c r="AH6" s="34" t="str">
        <f ca="1">IFERROR(IF(INDEX(生データ!$D:$D,MATCH(OFFSET($D$22,$Z6-1,$AE$4-1),生データ!$D:$D,1))=OFFSET($D$22,$Z6-1,$AE$4-1),VLOOKUP(OFFSET($D$22,$Z6-1,$AE$4-1),生データ!$D:$O,COLUMN(J1),TRUE),""),"")</f>
        <v/>
      </c>
      <c r="AI6" s="34" t="str">
        <f ca="1">IFERROR(IF(INDEX(生データ!$D:$D,MATCH(OFFSET($D$22,$Z6-1,$AE$4-1),生データ!$D:$D,1))=OFFSET($D$22,$Z6-1,$AE$4-1),VLOOKUP(OFFSET($D$22,$Z6-1,$AE$4-1),生データ!$D:$O,COLUMN(K1),TRUE),""),"")</f>
        <v/>
      </c>
      <c r="AJ6" s="34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150000000000006" customHeight="1" x14ac:dyDescent="0.7">
      <c r="A7" s="27"/>
      <c r="B7" s="13">
        <v>4</v>
      </c>
      <c r="C7" s="48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8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8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8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8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52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>予約済</v>
      </c>
      <c r="I7" s="48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4"/>
      <c r="U7" s="34"/>
      <c r="V7" s="34"/>
      <c r="W7" s="34"/>
      <c r="X7" s="34"/>
      <c r="Z7" s="34">
        <v>2</v>
      </c>
      <c r="AA7" s="34" t="str">
        <f ca="1">IFERROR(IF(INDEX(生データ!$D:$D,MATCH(OFFSET($D$22,$Z7-1,$AE$4-1),生データ!$D:$D,1))=OFFSET($D$22,$Z7-1,$AE$4-1),VLOOKUP(OFFSET($D$22,$Z7-1,$AE$4-1),生データ!$D:$O,COLUMN(C2),TRUE),""),"")</f>
        <v/>
      </c>
      <c r="AB7" s="34" t="str">
        <f ca="1">IFERROR(IF(INDEX(生データ!$D:$D,MATCH(OFFSET($D$22,$Z7-1,$AE$4-1),生データ!$D:$D,1))=OFFSET($D$22,$Z7-1,$AE$4-1),VLOOKUP(OFFSET($D$22,$Z7-1,$AE$4-1),生データ!$D:$O,COLUMN(D2),TRUE),""),"")</f>
        <v/>
      </c>
      <c r="AC7" s="34" t="str">
        <f ca="1">IFERROR(IF(INDEX(生データ!$D:$D,MATCH(OFFSET($D$22,$Z7-1,$AE$4-1),生データ!$D:$D,1))=OFFSET($D$22,$Z7-1,$AE$4-1),VLOOKUP(OFFSET($D$22,$Z7-1,$AE$4-1),生データ!$D:$O,COLUMN(E2),TRUE),""),"")</f>
        <v/>
      </c>
      <c r="AD7" s="34" t="str">
        <f ca="1">IFERROR(IF(INDEX(生データ!$D:$D,MATCH(OFFSET($D$22,$Z7-1,$AE$4-1),生データ!$D:$D,1))=OFFSET($D$22,$Z7-1,$AE$4-1),VLOOKUP(OFFSET($D$22,$Z7-1,$AE$4-1),生データ!$D:$O,COLUMN(F2),TRUE),""),"")</f>
        <v/>
      </c>
      <c r="AE7" s="34" t="str">
        <f ca="1">IFERROR(IF(INDEX(生データ!$D:$D,MATCH(OFFSET($D$22,$Z7-1,$AE$4-1),生データ!$D:$D,1))=OFFSET($D$22,$Z7-1,$AE$4-1),VLOOKUP(OFFSET($D$22,$Z7-1,$AE$4-1),生データ!$D:$O,COLUMN(G2),TRUE),""),"")</f>
        <v/>
      </c>
      <c r="AF7" s="34" t="str">
        <f ca="1">IFERROR(IF(INDEX(生データ!$D:$D,MATCH(OFFSET($D$22,$Z7-1,$AE$4-1),生データ!$D:$D,1))=OFFSET($D$22,$Z7-1,$AE$4-1),VLOOKUP(OFFSET($D$22,$Z7-1,$AE$4-1),生データ!$D:$O,COLUMN(H2),TRUE),""),"")</f>
        <v/>
      </c>
      <c r="AG7" s="34" t="str">
        <f ca="1">IFERROR(IF(INDEX(生データ!$D:$D,MATCH(OFFSET($D$22,$Z7-1,$AE$4-1),生データ!$D:$D,1))=OFFSET($D$22,$Z7-1,$AE$4-1),VLOOKUP(OFFSET($D$22,$Z7-1,$AE$4-1),生データ!$D:$O,COLUMN(I2),TRUE),""),"")</f>
        <v/>
      </c>
      <c r="AH7" s="34" t="str">
        <f ca="1">IFERROR(IF(INDEX(生データ!$D:$D,MATCH(OFFSET($D$22,$Z7-1,$AE$4-1),生データ!$D:$D,1))=OFFSET($D$22,$Z7-1,$AE$4-1),VLOOKUP(OFFSET($D$22,$Z7-1,$AE$4-1),生データ!$D:$O,COLUMN(J2),TRUE),""),"")</f>
        <v/>
      </c>
      <c r="AI7" s="34" t="str">
        <f ca="1">IFERROR(IF(INDEX(生データ!$D:$D,MATCH(OFFSET($D$22,$Z7-1,$AE$4-1),生データ!$D:$D,1))=OFFSET($D$22,$Z7-1,$AE$4-1),VLOOKUP(OFFSET($D$22,$Z7-1,$AE$4-1),生データ!$D:$O,COLUMN(K2),TRUE),""),"")</f>
        <v/>
      </c>
      <c r="AJ7" s="34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150000000000006" customHeight="1" x14ac:dyDescent="0.7">
      <c r="A8" s="12"/>
      <c r="B8" s="13">
        <v>5</v>
      </c>
      <c r="C8" s="48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8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8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8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8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8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8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4">
        <v>3</v>
      </c>
      <c r="AA8" s="34" t="str">
        <f ca="1">IFERROR(IF(INDEX(生データ!$D:$D,MATCH(OFFSET($D$22,$Z8-1,$AE$4-1),生データ!$D:$D,1))=OFFSET($D$22,$Z8-1,$AE$4-1),VLOOKUP(OFFSET($D$22,$Z8-1,$AE$4-1),生データ!$D:$O,COLUMN(C3),TRUE),""),"")</f>
        <v/>
      </c>
      <c r="AB8" s="34" t="str">
        <f ca="1">IFERROR(IF(INDEX(生データ!$D:$D,MATCH(OFFSET($D$22,$Z8-1,$AE$4-1),生データ!$D:$D,1))=OFFSET($D$22,$Z8-1,$AE$4-1),VLOOKUP(OFFSET($D$22,$Z8-1,$AE$4-1),生データ!$D:$O,COLUMN(D3),TRUE),""),"")</f>
        <v/>
      </c>
      <c r="AC8" s="34" t="str">
        <f ca="1">IFERROR(IF(INDEX(生データ!$D:$D,MATCH(OFFSET($D$22,$Z8-1,$AE$4-1),生データ!$D:$D,1))=OFFSET($D$22,$Z8-1,$AE$4-1),VLOOKUP(OFFSET($D$22,$Z8-1,$AE$4-1),生データ!$D:$O,COLUMN(E3),TRUE),""),"")</f>
        <v/>
      </c>
      <c r="AD8" s="34" t="str">
        <f ca="1">IFERROR(IF(INDEX(生データ!$D:$D,MATCH(OFFSET($D$22,$Z8-1,$AE$4-1),生データ!$D:$D,1))=OFFSET($D$22,$Z8-1,$AE$4-1),VLOOKUP(OFFSET($D$22,$Z8-1,$AE$4-1),生データ!$D:$O,COLUMN(F3),TRUE),""),"")</f>
        <v/>
      </c>
      <c r="AE8" s="34" t="str">
        <f ca="1">IFERROR(IF(INDEX(生データ!$D:$D,MATCH(OFFSET($D$22,$Z8-1,$AE$4-1),生データ!$D:$D,1))=OFFSET($D$22,$Z8-1,$AE$4-1),VLOOKUP(OFFSET($D$22,$Z8-1,$AE$4-1),生データ!$D:$O,COLUMN(G3),TRUE),""),"")</f>
        <v/>
      </c>
      <c r="AF8" s="34" t="str">
        <f ca="1">IFERROR(IF(INDEX(生データ!$D:$D,MATCH(OFFSET($D$22,$Z8-1,$AE$4-1),生データ!$D:$D,1))=OFFSET($D$22,$Z8-1,$AE$4-1),VLOOKUP(OFFSET($D$22,$Z8-1,$AE$4-1),生データ!$D:$O,COLUMN(H3),TRUE),""),"")</f>
        <v/>
      </c>
      <c r="AG8" s="34" t="str">
        <f ca="1">IFERROR(IF(INDEX(生データ!$D:$D,MATCH(OFFSET($D$22,$Z8-1,$AE$4-1),生データ!$D:$D,1))=OFFSET($D$22,$Z8-1,$AE$4-1),VLOOKUP(OFFSET($D$22,$Z8-1,$AE$4-1),生データ!$D:$O,COLUMN(I3),TRUE),""),"")</f>
        <v/>
      </c>
      <c r="AH8" s="34" t="str">
        <f ca="1">IFERROR(IF(INDEX(生データ!$D:$D,MATCH(OFFSET($D$22,$Z8-1,$AE$4-1),生データ!$D:$D,1))=OFFSET($D$22,$Z8-1,$AE$4-1),VLOOKUP(OFFSET($D$22,$Z8-1,$AE$4-1),生データ!$D:$O,COLUMN(J3),TRUE),""),"")</f>
        <v/>
      </c>
      <c r="AI8" s="34" t="str">
        <f ca="1">IFERROR(IF(INDEX(生データ!$D:$D,MATCH(OFFSET($D$22,$Z8-1,$AE$4-1),生データ!$D:$D,1))=OFFSET($D$22,$Z8-1,$AE$4-1),VLOOKUP(OFFSET($D$22,$Z8-1,$AE$4-1),生データ!$D:$O,COLUMN(K3),TRUE),""),"")</f>
        <v/>
      </c>
      <c r="AJ8" s="34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.100000000000001" customHeight="1" x14ac:dyDescent="0.7">
      <c r="Z9" s="34">
        <v>4</v>
      </c>
      <c r="AA9" s="34" t="str">
        <f ca="1">IFERROR(IF(INDEX(生データ!$D:$D,MATCH(OFFSET($D$22,$Z9-1,$AE$4-1),生データ!$D:$D,1))=OFFSET($D$22,$Z9-1,$AE$4-1),VLOOKUP(OFFSET($D$22,$Z9-1,$AE$4-1),生データ!$D:$O,COLUMN(C4),TRUE),""),"")</f>
        <v/>
      </c>
      <c r="AB9" s="34" t="str">
        <f ca="1">IFERROR(IF(INDEX(生データ!$D:$D,MATCH(OFFSET($D$22,$Z9-1,$AE$4-1),生データ!$D:$D,1))=OFFSET($D$22,$Z9-1,$AE$4-1),VLOOKUP(OFFSET($D$22,$Z9-1,$AE$4-1),生データ!$D:$O,COLUMN(D4),TRUE),""),"")</f>
        <v/>
      </c>
      <c r="AC9" s="34" t="str">
        <f ca="1">IFERROR(IF(INDEX(生データ!$D:$D,MATCH(OFFSET($D$22,$Z9-1,$AE$4-1),生データ!$D:$D,1))=OFFSET($D$22,$Z9-1,$AE$4-1),VLOOKUP(OFFSET($D$22,$Z9-1,$AE$4-1),生データ!$D:$O,COLUMN(E4),TRUE),""),"")</f>
        <v/>
      </c>
      <c r="AD9" s="34" t="str">
        <f ca="1">IFERROR(IF(INDEX(生データ!$D:$D,MATCH(OFFSET($D$22,$Z9-1,$AE$4-1),生データ!$D:$D,1))=OFFSET($D$22,$Z9-1,$AE$4-1),VLOOKUP(OFFSET($D$22,$Z9-1,$AE$4-1),生データ!$D:$O,COLUMN(F4),TRUE),""),"")</f>
        <v/>
      </c>
      <c r="AE9" s="34" t="str">
        <f ca="1">IFERROR(IF(INDEX(生データ!$D:$D,MATCH(OFFSET($D$22,$Z9-1,$AE$4-1),生データ!$D:$D,1))=OFFSET($D$22,$Z9-1,$AE$4-1),VLOOKUP(OFFSET($D$22,$Z9-1,$AE$4-1),生データ!$D:$O,COLUMN(G4),TRUE),""),"")</f>
        <v/>
      </c>
      <c r="AF9" s="34" t="str">
        <f ca="1">IFERROR(IF(INDEX(生データ!$D:$D,MATCH(OFFSET($D$22,$Z9-1,$AE$4-1),生データ!$D:$D,1))=OFFSET($D$22,$Z9-1,$AE$4-1),VLOOKUP(OFFSET($D$22,$Z9-1,$AE$4-1),生データ!$D:$O,COLUMN(H4),TRUE),""),"")</f>
        <v/>
      </c>
      <c r="AG9" s="34" t="str">
        <f ca="1">IFERROR(IF(INDEX(生データ!$D:$D,MATCH(OFFSET($D$22,$Z9-1,$AE$4-1),生データ!$D:$D,1))=OFFSET($D$22,$Z9-1,$AE$4-1),VLOOKUP(OFFSET($D$22,$Z9-1,$AE$4-1),生データ!$D:$O,COLUMN(I4),TRUE),""),"")</f>
        <v/>
      </c>
      <c r="AH9" s="34" t="str">
        <f ca="1">IFERROR(IF(INDEX(生データ!$D:$D,MATCH(OFFSET($D$22,$Z9-1,$AE$4-1),生データ!$D:$D,1))=OFFSET($D$22,$Z9-1,$AE$4-1),VLOOKUP(OFFSET($D$22,$Z9-1,$AE$4-1),生データ!$D:$O,COLUMN(J4),TRUE),""),"")</f>
        <v/>
      </c>
      <c r="AI9" s="34" t="str">
        <f ca="1">IFERROR(IF(INDEX(生データ!$D:$D,MATCH(OFFSET($D$22,$Z9-1,$AE$4-1),生データ!$D:$D,1))=OFFSET($D$22,$Z9-1,$AE$4-1),VLOOKUP(OFFSET($D$22,$Z9-1,$AE$4-1),生データ!$D:$O,COLUMN(K4),TRUE),""),"")</f>
        <v/>
      </c>
      <c r="AJ9" s="34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4">
        <v>5</v>
      </c>
      <c r="AA10" s="34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4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4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4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4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4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4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4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4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4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P13" s="37" t="s">
        <v>95</v>
      </c>
      <c r="Q13" s="37"/>
      <c r="R13" s="39"/>
      <c r="T13" t="s">
        <v>89</v>
      </c>
    </row>
    <row r="14" spans="1:36" ht="30" customHeight="1" x14ac:dyDescent="0.7">
      <c r="H14" s="1"/>
      <c r="T14" s="34">
        <v>2</v>
      </c>
      <c r="U14" s="37"/>
      <c r="V14" s="38" t="s">
        <v>68</v>
      </c>
      <c r="W14" s="38"/>
      <c r="X14" s="39"/>
    </row>
    <row r="15" spans="1:36" ht="30" customHeight="1" x14ac:dyDescent="0.7">
      <c r="B15" s="3"/>
      <c r="T15" s="45"/>
      <c r="U15" s="41"/>
      <c r="V15" s="41"/>
      <c r="W15" s="41"/>
      <c r="X15" s="42"/>
    </row>
    <row r="16" spans="1:36" ht="29.45" customHeight="1" x14ac:dyDescent="0.7">
      <c r="T16" s="46" t="s">
        <v>64</v>
      </c>
      <c r="U16" s="43"/>
      <c r="V16" s="43"/>
      <c r="W16" s="43"/>
      <c r="X16" s="44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20191119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2019111911</v>
      </c>
      <c r="E22" s="3">
        <f t="shared" ref="E22:J22" ca="1" si="0">$C$21*100+E$21*10+$C22</f>
        <v>2019111921</v>
      </c>
      <c r="F22" s="3">
        <f t="shared" ca="1" si="0"/>
        <v>2019111931</v>
      </c>
      <c r="G22" s="3">
        <f t="shared" ca="1" si="0"/>
        <v>2019111941</v>
      </c>
      <c r="H22" s="3">
        <f t="shared" ca="1" si="0"/>
        <v>2019111951</v>
      </c>
      <c r="I22" s="3">
        <f t="shared" ca="1" si="0"/>
        <v>2019111961</v>
      </c>
      <c r="J22" s="3">
        <f t="shared" ca="1" si="0"/>
        <v>2019111971</v>
      </c>
    </row>
    <row r="23" spans="3:10" hidden="1" x14ac:dyDescent="0.7">
      <c r="C23" s="3">
        <v>2</v>
      </c>
      <c r="D23" s="3">
        <f t="shared" ref="D23:J26" ca="1" si="1">$C$21*100+D$21*10+$C23</f>
        <v>2019111912</v>
      </c>
      <c r="E23" s="3">
        <f t="shared" ca="1" si="1"/>
        <v>2019111922</v>
      </c>
      <c r="F23" s="3">
        <f t="shared" ca="1" si="1"/>
        <v>2019111932</v>
      </c>
      <c r="G23" s="3">
        <f t="shared" ca="1" si="1"/>
        <v>2019111942</v>
      </c>
      <c r="H23" s="3">
        <f t="shared" ca="1" si="1"/>
        <v>2019111952</v>
      </c>
      <c r="I23" s="3">
        <f t="shared" ca="1" si="1"/>
        <v>2019111962</v>
      </c>
      <c r="J23" s="3">
        <f t="shared" ca="1" si="1"/>
        <v>2019111972</v>
      </c>
    </row>
    <row r="24" spans="3:10" hidden="1" x14ac:dyDescent="0.7">
      <c r="C24" s="3">
        <v>3</v>
      </c>
      <c r="D24" s="3">
        <f t="shared" ca="1" si="1"/>
        <v>2019111913</v>
      </c>
      <c r="E24" s="3">
        <f t="shared" ca="1" si="1"/>
        <v>2019111923</v>
      </c>
      <c r="F24" s="3">
        <f t="shared" ca="1" si="1"/>
        <v>2019111933</v>
      </c>
      <c r="G24" s="3">
        <f t="shared" ca="1" si="1"/>
        <v>2019111943</v>
      </c>
      <c r="H24" s="3">
        <f t="shared" ca="1" si="1"/>
        <v>2019111953</v>
      </c>
      <c r="I24" s="3">
        <f t="shared" ca="1" si="1"/>
        <v>2019111963</v>
      </c>
      <c r="J24" s="3">
        <f t="shared" ca="1" si="1"/>
        <v>2019111973</v>
      </c>
    </row>
    <row r="25" spans="3:10" hidden="1" x14ac:dyDescent="0.7">
      <c r="C25" s="3">
        <v>4</v>
      </c>
      <c r="D25" s="3">
        <f t="shared" ca="1" si="1"/>
        <v>2019111914</v>
      </c>
      <c r="E25" s="3">
        <f t="shared" ca="1" si="1"/>
        <v>2019111924</v>
      </c>
      <c r="F25" s="3">
        <f t="shared" ca="1" si="1"/>
        <v>2019111934</v>
      </c>
      <c r="G25" s="3">
        <f t="shared" ca="1" si="1"/>
        <v>2019111944</v>
      </c>
      <c r="H25" s="3">
        <f t="shared" ca="1" si="1"/>
        <v>2019111954</v>
      </c>
      <c r="I25" s="3">
        <f t="shared" ca="1" si="1"/>
        <v>2019111964</v>
      </c>
      <c r="J25" s="3">
        <f t="shared" ca="1" si="1"/>
        <v>2019111974</v>
      </c>
    </row>
    <row r="26" spans="3:10" hidden="1" x14ac:dyDescent="0.7">
      <c r="C26" s="3">
        <v>5</v>
      </c>
      <c r="D26" s="3">
        <f t="shared" ca="1" si="1"/>
        <v>2019111915</v>
      </c>
      <c r="E26" s="3">
        <f t="shared" ca="1" si="1"/>
        <v>2019111925</v>
      </c>
      <c r="F26" s="3">
        <f t="shared" ca="1" si="1"/>
        <v>2019111935</v>
      </c>
      <c r="G26" s="3">
        <f t="shared" ca="1" si="1"/>
        <v>2019111945</v>
      </c>
      <c r="H26" s="3">
        <f t="shared" ca="1" si="1"/>
        <v>2019111955</v>
      </c>
      <c r="I26" s="3">
        <f t="shared" ca="1" si="1"/>
        <v>2019111965</v>
      </c>
      <c r="J26" s="3">
        <f t="shared" ca="1" si="1"/>
        <v>2019111975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581025</xdr:colOff>
                    <xdr:row>6</xdr:row>
                    <xdr:rowOff>433388</xdr:rowOff>
                  </from>
                  <to>
                    <xdr:col>18</xdr:col>
                    <xdr:colOff>333375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604838</xdr:colOff>
                    <xdr:row>3</xdr:row>
                    <xdr:rowOff>57150</xdr:rowOff>
                  </from>
                  <to>
                    <xdr:col>18</xdr:col>
                    <xdr:colOff>290513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614363</xdr:colOff>
                    <xdr:row>7</xdr:row>
                    <xdr:rowOff>571500</xdr:rowOff>
                  </from>
                  <to>
                    <xdr:col>18</xdr:col>
                    <xdr:colOff>314325</xdr:colOff>
                    <xdr:row>9</xdr:row>
                    <xdr:rowOff>309563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28575</xdr:rowOff>
                  </from>
                  <to>
                    <xdr:col>24</xdr:col>
                    <xdr:colOff>495300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566738</xdr:colOff>
                    <xdr:row>5</xdr:row>
                    <xdr:rowOff>366713</xdr:rowOff>
                  </from>
                  <to>
                    <xdr:col>18</xdr:col>
                    <xdr:colOff>314325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33338</xdr:rowOff>
                  </from>
                  <to>
                    <xdr:col>15</xdr:col>
                    <xdr:colOff>133350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19050</xdr:colOff>
                    <xdr:row>3</xdr:row>
                    <xdr:rowOff>571500</xdr:rowOff>
                  </from>
                  <to>
                    <xdr:col>15</xdr:col>
                    <xdr:colOff>200025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9525</xdr:colOff>
                    <xdr:row>4</xdr:row>
                    <xdr:rowOff>190500</xdr:rowOff>
                  </from>
                  <to>
                    <xdr:col>15</xdr:col>
                    <xdr:colOff>200025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19050</xdr:colOff>
                    <xdr:row>4</xdr:row>
                    <xdr:rowOff>733425</xdr:rowOff>
                  </from>
                  <to>
                    <xdr:col>15</xdr:col>
                    <xdr:colOff>185738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352425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757238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28575</xdr:colOff>
                    <xdr:row>6</xdr:row>
                    <xdr:rowOff>314325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1009650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9525</xdr:colOff>
                    <xdr:row>8</xdr:row>
                    <xdr:rowOff>157163</xdr:rowOff>
                  </from>
                  <to>
                    <xdr:col>15</xdr:col>
                    <xdr:colOff>161925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995363</xdr:colOff>
                    <xdr:row>11</xdr:row>
                    <xdr:rowOff>333375</xdr:rowOff>
                  </from>
                  <to>
                    <xdr:col>14</xdr:col>
                    <xdr:colOff>561975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233363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561975</xdr:colOff>
                    <xdr:row>13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133350</xdr:rowOff>
                  </from>
                  <to>
                    <xdr:col>18</xdr:col>
                    <xdr:colOff>280988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57150</xdr:rowOff>
                  </from>
                  <to>
                    <xdr:col>23</xdr:col>
                    <xdr:colOff>490538</xdr:colOff>
                    <xdr:row>9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985838</xdr:colOff>
                    <xdr:row>14</xdr:row>
                    <xdr:rowOff>142875</xdr:rowOff>
                  </from>
                  <to>
                    <xdr:col>14</xdr:col>
                    <xdr:colOff>542925</xdr:colOff>
                    <xdr:row>15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61913</xdr:colOff>
                    <xdr:row>12</xdr:row>
                    <xdr:rowOff>19050</xdr:rowOff>
                  </from>
                  <to>
                    <xdr:col>17</xdr:col>
                    <xdr:colOff>657225</xdr:colOff>
                    <xdr:row>12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1"/>
  <sheetViews>
    <sheetView showGridLines="0" zoomScaleNormal="100" workbookViewId="0">
      <selection activeCell="A5" sqref="A5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0</v>
      </c>
    </row>
    <row r="2" spans="1:1" ht="180" customHeight="1" x14ac:dyDescent="0.7">
      <c r="A2">
        <v>1</v>
      </c>
    </row>
    <row r="3" spans="1:1" ht="180" customHeight="1" x14ac:dyDescent="0.7"/>
    <row r="4" spans="1:1" ht="180" customHeight="1" x14ac:dyDescent="0.7"/>
    <row r="5" spans="1:1" ht="180" customHeight="1" x14ac:dyDescent="0.7"/>
    <row r="6" spans="1:1" ht="180" customHeight="1" x14ac:dyDescent="0.7"/>
    <row r="7" spans="1:1" ht="180" customHeight="1" x14ac:dyDescent="0.7"/>
    <row r="8" spans="1:1" ht="180" customHeight="1" x14ac:dyDescent="0.7"/>
    <row r="9" spans="1:1" ht="180" customHeight="1" x14ac:dyDescent="0.7"/>
    <row r="10" spans="1:1" ht="180" customHeight="1" x14ac:dyDescent="0.7"/>
    <row r="11" spans="1:1" ht="180" customHeight="1" x14ac:dyDescent="0.7"/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D7" sqref="D7"/>
    </sheetView>
  </sheetViews>
  <sheetFormatPr defaultRowHeight="17.649999999999999" x14ac:dyDescent="0.7"/>
  <cols>
    <col min="4" max="4" width="13.25" customWidth="1"/>
    <col min="5" max="5" width="67" customWidth="1"/>
    <col min="6" max="6" width="98.375" customWidth="1"/>
    <col min="7" max="7" width="15.62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6" customFormat="1" x14ac:dyDescent="0.7">
      <c r="A2" s="26">
        <v>0</v>
      </c>
      <c r="B2" s="26">
        <v>0</v>
      </c>
      <c r="C2" s="26">
        <v>0</v>
      </c>
      <c r="D2" s="26">
        <v>0</v>
      </c>
      <c r="E2" s="36"/>
      <c r="F2" s="26">
        <v>0</v>
      </c>
    </row>
    <row r="3" spans="1:12" x14ac:dyDescent="0.7">
      <c r="A3" s="26">
        <v>1</v>
      </c>
      <c r="B3" s="26" t="s">
        <v>91</v>
      </c>
      <c r="C3" s="26" t="s">
        <v>91</v>
      </c>
      <c r="D3" s="26" t="s">
        <v>91</v>
      </c>
      <c r="E3" s="26" t="s">
        <v>92</v>
      </c>
      <c r="F3" s="26" t="s">
        <v>93</v>
      </c>
      <c r="G3" s="26"/>
      <c r="H3" s="26"/>
      <c r="I3" s="26"/>
      <c r="J3" s="26"/>
      <c r="K3" s="26"/>
      <c r="L3" s="26"/>
    </row>
    <row r="4" spans="1:12" x14ac:dyDescent="0.7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</row>
    <row r="5" spans="1:12" x14ac:dyDescent="0.7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 x14ac:dyDescent="0.7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</row>
    <row r="7" spans="1:12" x14ac:dyDescent="0.7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8" spans="1:12" x14ac:dyDescent="0.7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7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142875</xdr:rowOff>
                  </from>
                  <to>
                    <xdr:col>8</xdr:col>
                    <xdr:colOff>581025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46"/>
  <sheetViews>
    <sheetView workbookViewId="0">
      <pane ySplit="1" topLeftCell="A14" activePane="bottomLeft" state="frozen"/>
      <selection pane="bottomLeft" activeCell="G54" sqref="G54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1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7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 x14ac:dyDescent="0.7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 x14ac:dyDescent="0.7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 x14ac:dyDescent="0.7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 x14ac:dyDescent="0.7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 x14ac:dyDescent="0.7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 x14ac:dyDescent="0.7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 x14ac:dyDescent="0.7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 x14ac:dyDescent="0.7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 x14ac:dyDescent="0.7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 x14ac:dyDescent="0.7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s="26" customFormat="1" x14ac:dyDescent="0.7">
      <c r="A54" s="26">
        <v>20191117</v>
      </c>
      <c r="B54" s="26">
        <v>3</v>
      </c>
      <c r="C54" s="26">
        <v>1</v>
      </c>
      <c r="D54" s="26">
        <v>2019111731</v>
      </c>
      <c r="E54" s="26">
        <v>0</v>
      </c>
      <c r="F54" s="2">
        <v>342599567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 s="26" customFormat="1" x14ac:dyDescent="0.7">
      <c r="A55" s="26">
        <v>20191117</v>
      </c>
      <c r="B55" s="26">
        <v>4</v>
      </c>
      <c r="C55" s="26">
        <v>1</v>
      </c>
      <c r="D55" s="26">
        <v>2019111741</v>
      </c>
      <c r="E55" s="26">
        <v>0</v>
      </c>
      <c r="F55" s="2">
        <v>152517043</v>
      </c>
      <c r="G55" s="2">
        <v>142517036</v>
      </c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 s="26" customFormat="1" x14ac:dyDescent="0.7">
      <c r="A56" s="26">
        <v>20191117</v>
      </c>
      <c r="B56" s="26">
        <v>5</v>
      </c>
      <c r="C56" s="26">
        <v>1</v>
      </c>
      <c r="D56" s="26">
        <v>2019111751</v>
      </c>
      <c r="E56" s="26">
        <v>0</v>
      </c>
      <c r="F56" s="2">
        <v>152517043</v>
      </c>
      <c r="G56" s="2">
        <v>142517036</v>
      </c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 s="26" customFormat="1" x14ac:dyDescent="0.7">
      <c r="A57" s="26">
        <v>20191117</v>
      </c>
      <c r="B57" s="26">
        <v>6</v>
      </c>
      <c r="C57" s="26">
        <v>1</v>
      </c>
      <c r="D57" s="26">
        <v>2019111761</v>
      </c>
      <c r="E57" s="26">
        <v>0</v>
      </c>
      <c r="F57" s="2">
        <v>152517043</v>
      </c>
      <c r="G57" s="2">
        <v>142517036</v>
      </c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 s="26" customFormat="1" x14ac:dyDescent="0.7">
      <c r="A58" s="26">
        <v>20191117</v>
      </c>
      <c r="B58" s="26">
        <v>6</v>
      </c>
      <c r="C58" s="26">
        <v>2</v>
      </c>
      <c r="D58" s="26">
        <v>2019111762</v>
      </c>
      <c r="E58" s="26">
        <v>0</v>
      </c>
      <c r="F58" s="2">
        <v>342599567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 s="26" customFormat="1" x14ac:dyDescent="0.7">
      <c r="A59" s="26">
        <v>20191117</v>
      </c>
      <c r="B59" s="26">
        <v>7</v>
      </c>
      <c r="C59" s="26">
        <v>1</v>
      </c>
      <c r="D59" s="26">
        <v>2019111771</v>
      </c>
      <c r="E59" s="26">
        <v>0</v>
      </c>
      <c r="F59" s="2">
        <v>152517043</v>
      </c>
      <c r="G59" s="2">
        <v>142517036</v>
      </c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 s="26" customFormat="1" x14ac:dyDescent="0.7">
      <c r="A60" s="26">
        <v>20191117</v>
      </c>
      <c r="B60" s="26">
        <v>7</v>
      </c>
      <c r="C60" s="26">
        <v>2</v>
      </c>
      <c r="D60" s="26">
        <v>2019111772</v>
      </c>
      <c r="E60" s="26">
        <v>0</v>
      </c>
      <c r="F60" s="2">
        <v>342599567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 s="26" customFormat="1" x14ac:dyDescent="0.7">
      <c r="A61" s="26">
        <v>20191118</v>
      </c>
      <c r="B61" s="26">
        <v>3</v>
      </c>
      <c r="C61" s="26">
        <v>3</v>
      </c>
      <c r="D61" s="26">
        <v>2019111833</v>
      </c>
      <c r="E61" s="26">
        <v>0</v>
      </c>
      <c r="F61" s="2">
        <v>132599333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s="26" customFormat="1" x14ac:dyDescent="0.7">
      <c r="A62" s="26">
        <v>20191118</v>
      </c>
      <c r="B62" s="26">
        <v>4</v>
      </c>
      <c r="C62" s="26">
        <v>3</v>
      </c>
      <c r="D62" s="26">
        <v>2019111843</v>
      </c>
      <c r="E62" s="26">
        <v>1</v>
      </c>
      <c r="F62" s="2">
        <v>142599141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 s="26" customFormat="1" x14ac:dyDescent="0.7">
      <c r="A63" s="26">
        <v>20191118</v>
      </c>
      <c r="B63" s="26">
        <v>5</v>
      </c>
      <c r="C63" s="26">
        <v>3</v>
      </c>
      <c r="D63" s="26">
        <v>2019111853</v>
      </c>
      <c r="E63" s="26">
        <v>1</v>
      </c>
      <c r="F63" s="2">
        <v>152517043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  <row r="64" spans="1:35" s="26" customFormat="1" x14ac:dyDescent="0.7">
      <c r="A64" s="26">
        <v>20191119</v>
      </c>
      <c r="B64" s="26">
        <v>1</v>
      </c>
      <c r="C64" s="26">
        <v>3</v>
      </c>
      <c r="D64" s="26">
        <v>2019111913</v>
      </c>
      <c r="E64" s="26">
        <v>0</v>
      </c>
      <c r="F64" s="2">
        <v>142599333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</row>
    <row r="65" spans="1:35" s="26" customFormat="1" x14ac:dyDescent="0.7">
      <c r="A65" s="26">
        <v>20191119</v>
      </c>
      <c r="B65" s="26">
        <v>3</v>
      </c>
      <c r="C65" s="26">
        <v>3</v>
      </c>
      <c r="D65" s="26">
        <v>2019111933</v>
      </c>
      <c r="E65" s="26">
        <v>1</v>
      </c>
      <c r="F65" s="2">
        <v>132521333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</row>
    <row r="66" spans="1:35" s="26" customFormat="1" x14ac:dyDescent="0.7">
      <c r="A66" s="26">
        <v>20191119</v>
      </c>
      <c r="B66" s="26">
        <v>6</v>
      </c>
      <c r="C66" s="26">
        <v>4</v>
      </c>
      <c r="D66" s="26">
        <v>2019111964</v>
      </c>
      <c r="E66" s="26">
        <v>0</v>
      </c>
      <c r="F66" s="2">
        <v>432599333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</row>
    <row r="108" spans="6:35" s="16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16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18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18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19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19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5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1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5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5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1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5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1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5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1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1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5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5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1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19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5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3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1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1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5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5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3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3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1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6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 x14ac:dyDescent="0.7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  <row r="234" spans="6:35" s="26" customFormat="1" x14ac:dyDescent="0.7"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</row>
    <row r="235" spans="6:35" s="26" customFormat="1" x14ac:dyDescent="0.7"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</row>
    <row r="236" spans="6:35" s="26" customFormat="1" x14ac:dyDescent="0.7"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</row>
    <row r="237" spans="6:35" s="26" customFormat="1" x14ac:dyDescent="0.7"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</row>
    <row r="238" spans="6:35" s="26" customFormat="1" x14ac:dyDescent="0.7"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</row>
    <row r="239" spans="6:35" s="26" customFormat="1" x14ac:dyDescent="0.7"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</row>
    <row r="240" spans="6:35" s="26" customFormat="1" x14ac:dyDescent="0.7"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</row>
    <row r="241" spans="6:35" s="26" customFormat="1" x14ac:dyDescent="0.7"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</row>
    <row r="242" spans="6:35" s="26" customFormat="1" x14ac:dyDescent="0.7"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</row>
    <row r="243" spans="6:35" s="26" customFormat="1" x14ac:dyDescent="0.7"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</row>
    <row r="244" spans="6:35" s="26" customFormat="1" x14ac:dyDescent="0.7"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</row>
    <row r="245" spans="6:35" s="26" customFormat="1" x14ac:dyDescent="0.7"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</row>
    <row r="246" spans="6:35" s="26" customFormat="1" x14ac:dyDescent="0.7"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</row>
  </sheetData>
  <sortState xmlns:xlrd2="http://schemas.microsoft.com/office/spreadsheetml/2017/richdata2" ref="A2:AA246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4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2" x14ac:dyDescent="0.7">
      <c r="A1">
        <v>20191119</v>
      </c>
      <c r="B1">
        <v>20191119</v>
      </c>
    </row>
    <row r="2" spans="1:2" s="26" customFormat="1" x14ac:dyDescent="0.7">
      <c r="A2" s="26">
        <v>132521333</v>
      </c>
      <c r="B2" s="26">
        <v>1</v>
      </c>
    </row>
    <row r="3" spans="1:2" s="26" customFormat="1" x14ac:dyDescent="0.7">
      <c r="A3" s="26">
        <v>142599333</v>
      </c>
      <c r="B3" s="26">
        <v>1</v>
      </c>
    </row>
    <row r="4" spans="1:2" s="26" customFormat="1" x14ac:dyDescent="0.7">
      <c r="A4" s="26">
        <v>432599333</v>
      </c>
      <c r="B4" s="26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9"/>
  <sheetViews>
    <sheetView topLeftCell="A4" workbookViewId="0">
      <selection activeCell="G37" sqref="G37"/>
    </sheetView>
  </sheetViews>
  <sheetFormatPr defaultRowHeight="17.649999999999999" x14ac:dyDescent="0.7"/>
  <cols>
    <col min="1" max="1" width="20.125" style="24" customWidth="1"/>
    <col min="2" max="2" width="17.5" style="24" customWidth="1"/>
    <col min="3" max="3" width="14.2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3" s="26" customFormat="1" x14ac:dyDescent="0.7">
      <c r="A33" s="24">
        <v>43782.749421296299</v>
      </c>
      <c r="B33" s="24">
        <v>43782.791087962964</v>
      </c>
      <c r="C33" s="26">
        <v>6</v>
      </c>
    </row>
    <row r="34" spans="1:3" s="26" customFormat="1" x14ac:dyDescent="0.7">
      <c r="A34" s="24">
        <v>43786.879629629628</v>
      </c>
      <c r="B34" s="24">
        <v>43786.88013888889</v>
      </c>
      <c r="C34" s="26">
        <v>1</v>
      </c>
    </row>
    <row r="35" spans="1:3" s="26" customFormat="1" x14ac:dyDescent="0.7">
      <c r="A35" s="24">
        <v>43803.541666666664</v>
      </c>
      <c r="B35" s="24">
        <v>43803.583333333336</v>
      </c>
      <c r="C35" s="26">
        <v>7</v>
      </c>
    </row>
    <row r="36" spans="1:3" s="26" customFormat="1" x14ac:dyDescent="0.7">
      <c r="A36" s="24">
        <v>43806.833333333336</v>
      </c>
      <c r="B36" s="24">
        <v>43806.875</v>
      </c>
      <c r="C36" s="26">
        <v>4</v>
      </c>
    </row>
    <row r="37" spans="1:3" s="26" customFormat="1" x14ac:dyDescent="0.7">
      <c r="A37" s="24">
        <v>43806.875</v>
      </c>
      <c r="B37" s="24">
        <v>43806.958333333336</v>
      </c>
      <c r="C37" s="26">
        <v>7</v>
      </c>
    </row>
    <row r="38" spans="1:3" s="22" customFormat="1" x14ac:dyDescent="0.7">
      <c r="A38" s="24"/>
      <c r="B38" s="24"/>
    </row>
    <row r="39" spans="1:3" s="22" customFormat="1" x14ac:dyDescent="0.7">
      <c r="A39" s="24"/>
      <c r="B39" s="24"/>
    </row>
    <row r="40" spans="1:3" s="22" customFormat="1" x14ac:dyDescent="0.7">
      <c r="A40" s="24"/>
      <c r="B40" s="24"/>
    </row>
    <row r="41" spans="1:3" s="22" customFormat="1" x14ac:dyDescent="0.7">
      <c r="A41" s="24"/>
      <c r="B41" s="24"/>
    </row>
    <row r="42" spans="1:3" s="22" customFormat="1" x14ac:dyDescent="0.7">
      <c r="A42" s="24"/>
      <c r="B42" s="24"/>
    </row>
    <row r="43" spans="1:3" s="22" customFormat="1" x14ac:dyDescent="0.7">
      <c r="A43" s="24"/>
      <c r="B43" s="24"/>
    </row>
    <row r="44" spans="1:3" s="22" customFormat="1" x14ac:dyDescent="0.7">
      <c r="A44" s="24"/>
      <c r="B44" s="24"/>
    </row>
    <row r="45" spans="1:3" s="22" customFormat="1" x14ac:dyDescent="0.7">
      <c r="A45" s="24"/>
      <c r="B45" s="24"/>
    </row>
    <row r="46" spans="1:3" s="22" customFormat="1" x14ac:dyDescent="0.7">
      <c r="A46" s="24"/>
      <c r="B46" s="24"/>
    </row>
    <row r="47" spans="1:3" s="22" customFormat="1" x14ac:dyDescent="0.7">
      <c r="A47" s="24"/>
      <c r="B47" s="24"/>
    </row>
    <row r="48" spans="1:3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s="22" customFormat="1" x14ac:dyDescent="0.7">
      <c r="A53" s="24"/>
      <c r="B53" s="24"/>
    </row>
    <row r="54" spans="1:4" s="22" customFormat="1" x14ac:dyDescent="0.7">
      <c r="A54" s="24"/>
      <c r="B54" s="24"/>
    </row>
    <row r="55" spans="1:4" s="22" customFormat="1" x14ac:dyDescent="0.7">
      <c r="A55" s="24"/>
      <c r="B55" s="24"/>
    </row>
    <row r="56" spans="1:4" s="22" customFormat="1" x14ac:dyDescent="0.7">
      <c r="A56" s="24"/>
      <c r="B56" s="24"/>
    </row>
    <row r="57" spans="1:4" s="22" customFormat="1" x14ac:dyDescent="0.7">
      <c r="A57" s="24"/>
      <c r="B57" s="24"/>
    </row>
    <row r="58" spans="1:4" x14ac:dyDescent="0.7">
      <c r="A58" s="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s="22" customFormat="1" x14ac:dyDescent="0.7">
      <c r="A72" s="4"/>
      <c r="B72" s="24"/>
      <c r="C72" s="3"/>
      <c r="D72" s="3"/>
    </row>
    <row r="73" spans="1:4" s="22" customFormat="1" x14ac:dyDescent="0.7">
      <c r="A73" s="4"/>
      <c r="B73" s="24"/>
      <c r="C73" s="3"/>
      <c r="D73" s="3"/>
    </row>
    <row r="74" spans="1:4" s="22" customFormat="1" x14ac:dyDescent="0.7">
      <c r="A74" s="4"/>
      <c r="B74" s="24"/>
      <c r="C74" s="3"/>
      <c r="D74" s="3"/>
    </row>
    <row r="75" spans="1:4" s="22" customFormat="1" x14ac:dyDescent="0.7">
      <c r="A75" s="4"/>
      <c r="B75" s="24"/>
      <c r="C75" s="3"/>
      <c r="D75" s="3"/>
    </row>
    <row r="76" spans="1:4" s="22" customFormat="1" x14ac:dyDescent="0.7">
      <c r="A76" s="4"/>
      <c r="B76" s="24"/>
      <c r="C76" s="3"/>
      <c r="D76" s="3"/>
    </row>
    <row r="77" spans="1:4" x14ac:dyDescent="0.7">
      <c r="A77" s="4"/>
      <c r="C77" s="3"/>
      <c r="D77" s="3"/>
    </row>
    <row r="78" spans="1:4" x14ac:dyDescent="0.7">
      <c r="A78" s="4"/>
      <c r="C78" s="3"/>
      <c r="D78" s="3"/>
    </row>
    <row r="79" spans="1:4" x14ac:dyDescent="0.7">
      <c r="A79" s="4"/>
      <c r="C79" s="3"/>
      <c r="D79" s="3"/>
    </row>
    <row r="80" spans="1:4" x14ac:dyDescent="0.7">
      <c r="A80" s="4"/>
      <c r="C80" s="3"/>
      <c r="D80" s="3"/>
    </row>
    <row r="81" spans="1:4" x14ac:dyDescent="0.7">
      <c r="A81" s="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4"/>
      <c r="B89" s="24"/>
      <c r="C89" s="3"/>
      <c r="D89" s="3"/>
    </row>
    <row r="90" spans="1:4" s="22" customFormat="1" x14ac:dyDescent="0.7">
      <c r="A90" s="4"/>
      <c r="B90" s="24"/>
      <c r="C90" s="3"/>
      <c r="D90" s="3"/>
    </row>
    <row r="91" spans="1:4" s="22" customFormat="1" x14ac:dyDescent="0.7">
      <c r="A91" s="4"/>
      <c r="B91" s="24"/>
      <c r="C91" s="3"/>
      <c r="D91" s="3"/>
    </row>
    <row r="92" spans="1:4" s="22" customFormat="1" x14ac:dyDescent="0.7">
      <c r="A92" s="4"/>
      <c r="B92" s="24"/>
      <c r="C92" s="3"/>
      <c r="D92" s="3"/>
    </row>
    <row r="93" spans="1:4" s="22" customFormat="1" x14ac:dyDescent="0.7">
      <c r="A93" s="4"/>
      <c r="B93" s="24"/>
      <c r="C93" s="3"/>
      <c r="D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 s="3"/>
    </row>
    <row r="96" spans="1:4" s="22" customFormat="1" x14ac:dyDescent="0.7">
      <c r="A96" s="24"/>
      <c r="B96" s="24"/>
      <c r="C96" s="3"/>
    </row>
    <row r="97" spans="1:3" s="22" customFormat="1" x14ac:dyDescent="0.7">
      <c r="A97" s="24"/>
      <c r="B97" s="24"/>
      <c r="C97" s="3"/>
    </row>
    <row r="98" spans="1:3" s="22" customFormat="1" x14ac:dyDescent="0.7">
      <c r="A98" s="24"/>
      <c r="B98" s="24"/>
      <c r="C98" s="3"/>
    </row>
    <row r="99" spans="1:3" s="22" customFormat="1" x14ac:dyDescent="0.7">
      <c r="A99" s="24"/>
      <c r="B99" s="24"/>
      <c r="C99" s="3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  <row r="145" spans="1:3" s="22" customFormat="1" x14ac:dyDescent="0.7">
      <c r="A145" s="24"/>
      <c r="B145" s="24"/>
      <c r="C145"/>
    </row>
    <row r="146" spans="1:3" s="22" customFormat="1" x14ac:dyDescent="0.7">
      <c r="A146" s="24"/>
      <c r="B146" s="24"/>
      <c r="C146"/>
    </row>
    <row r="147" spans="1:3" s="22" customFormat="1" x14ac:dyDescent="0.7">
      <c r="A147" s="24"/>
      <c r="B147" s="24"/>
      <c r="C147"/>
    </row>
    <row r="148" spans="1:3" s="22" customFormat="1" x14ac:dyDescent="0.7">
      <c r="A148" s="24"/>
      <c r="B148" s="24"/>
      <c r="C148"/>
    </row>
    <row r="149" spans="1:3" s="22" customFormat="1" x14ac:dyDescent="0.7">
      <c r="A149" s="24"/>
      <c r="B149" s="24"/>
      <c r="C149"/>
    </row>
  </sheetData>
  <sortState xmlns:xlrd2="http://schemas.microsoft.com/office/spreadsheetml/2017/richdata2" ref="A2:C149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371475</xdr:colOff>
                    <xdr:row>0</xdr:row>
                    <xdr:rowOff>85725</xdr:rowOff>
                  </from>
                  <to>
                    <xdr:col>5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RowHeight="17.649999999999999" x14ac:dyDescent="0.7"/>
  <cols>
    <col min="1" max="1" width="12.125" bestFit="1" customWidth="1"/>
  </cols>
  <sheetData>
    <row r="1" spans="1:1" s="26" customFormat="1" x14ac:dyDescent="0.7">
      <c r="A1" s="26">
        <v>192202015</v>
      </c>
    </row>
    <row r="2" spans="1:1" s="26" customFormat="1" x14ac:dyDescent="0.7">
      <c r="A2" s="26">
        <v>232599444</v>
      </c>
    </row>
    <row r="3" spans="1:1" s="26" customFormat="1" x14ac:dyDescent="0.7"/>
    <row r="4" spans="1:1" s="26" customFormat="1" x14ac:dyDescent="0.7"/>
    <row r="6" spans="1:1" s="26" customFormat="1" x14ac:dyDescent="0.7"/>
    <row r="8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2019-11-18T10:34:02Z</dcterms:modified>
</cp:coreProperties>
</file>