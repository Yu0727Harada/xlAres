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6E40752B-FB99-496E-88F9-81EDD3411DB6}" xr6:coauthVersionLast="41" xr6:coauthVersionMax="41" xr10:uidLastSave="{00000000-0000-0000-0000-000000000000}"/>
  <bookViews>
    <workbookView showHorizontalScroll="0" showVerticalScroll="0" showSheetTabs="0"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 l="1"/>
  <c r="C13" i="4" l="1"/>
  <c r="C12" i="4"/>
  <c r="C21" i="4" l="1"/>
  <c r="E22" i="4" s="1"/>
  <c r="D4" i="4" s="1"/>
  <c r="D23" i="4" l="1"/>
  <c r="F22" i="4"/>
  <c r="E4" i="4" s="1"/>
  <c r="J24" i="4"/>
  <c r="G24" i="4"/>
  <c r="F6" i="4" s="1"/>
  <c r="F26" i="4"/>
  <c r="E8" i="4" s="1"/>
  <c r="H23" i="4"/>
  <c r="G5" i="4" s="1"/>
  <c r="I25" i="4"/>
  <c r="E23" i="4"/>
  <c r="D24" i="4"/>
  <c r="J26" i="4"/>
  <c r="I8" i="4" s="1"/>
  <c r="H25" i="4"/>
  <c r="F24" i="4"/>
  <c r="J22" i="4"/>
  <c r="I4" i="4" s="1"/>
  <c r="G26" i="4"/>
  <c r="F8" i="4" s="1"/>
  <c r="E25" i="4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E5" i="4"/>
  <c r="C5" i="4"/>
  <c r="I6" i="4"/>
  <c r="D7" i="4"/>
  <c r="E6" i="4"/>
  <c r="D5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G8" i="4"/>
  <c r="G7" i="4"/>
  <c r="H8" i="4"/>
  <c r="H5" i="4"/>
  <c r="H4" i="4"/>
  <c r="H7" i="4"/>
  <c r="G6" i="4"/>
</calcChain>
</file>

<file path=xl/sharedStrings.xml><?xml version="1.0" encoding="utf-8"?>
<sst xmlns="http://schemas.openxmlformats.org/spreadsheetml/2006/main" count="118" uniqueCount="92">
  <si>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</si>
  <si>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</si>
  <si>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</si>
  <si>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</si>
  <si>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</si>
  <si>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</si>
  <si>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</si>
  <si>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</si>
  <si>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</si>
  <si>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</si>
  <si>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</si>
  <si>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</si>
  <si>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</si>
  <si>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</si>
  <si>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</si>
  <si>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</si>
  <si>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</si>
  <si>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</si>
  <si>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</si>
  <si>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</si>
  <si>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</si>
  <si>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</si>
  <si>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</si>
  <si>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</si>
  <si>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</si>
  <si>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</si>
  <si>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</si>
  <si>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</si>
  <si>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</si>
  <si>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</si>
  <si>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</si>
  <si>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</si>
  <si>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</si>
  <si>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</si>
  <si>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</si>
  <si>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</si>
  <si>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</si>
  <si>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</si>
  <si>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</si>
  <si>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</si>
  <si>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</si>
  <si>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</si>
  <si>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</si>
  <si>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</si>
  <si>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</si>
  <si>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</si>
  <si>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</si>
  <si>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</si>
  <si>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</si>
  <si>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</si>
  <si>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</si>
  <si>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</si>
  <si>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</si>
  <si>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</si>
  <si>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</si>
  <si>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</si>
  <si>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</si>
  <si>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</si>
  <si>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</si>
  <si>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</si>
  <si>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</si>
  <si>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</si>
  <si>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</si>
  <si>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</si>
  <si>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</si>
  <si>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</si>
  <si>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</si>
  <si>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</si>
  <si>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</si>
  <si>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</si>
  <si>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</si>
  <si>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</si>
  <si>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</si>
  <si>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</si>
  <si>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</si>
  <si>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</si>
  <si>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</si>
  <si>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</si>
  <si>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</si>
  <si>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</si>
  <si>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</si>
  <si>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</si>
  <si>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</si>
  <si>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</si>
  <si>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</si>
  <si>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</si>
  <si>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</si>
  <si>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</si>
  <si>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</si>
  <si>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</si>
  <si>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学籍番号or学籍台帳番号</t>
    <rPh sb="0" eb="2">
      <t>ガクセキ</t>
    </rPh>
    <rPh sb="2" eb="4">
      <t>バンゴウ</t>
    </rPh>
    <rPh sb="6" eb="8">
      <t>ガクセキ</t>
    </rPh>
    <rPh sb="8" eb="10">
      <t>ダイチョウ</t>
    </rPh>
    <rPh sb="10" eb="12">
      <t>バンゴウ</t>
    </rPh>
    <phoneticPr fontId="1"/>
  </si>
  <si>
    <t>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</si>
</sst>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61913</xdr:colOff>
          <xdr:row>26</xdr:row>
          <xdr:rowOff>104775</xdr:rowOff>
        </xdr:from>
        <xdr:to>
          <xdr:col>24</xdr:col>
          <xdr:colOff>314325</xdr:colOff>
          <xdr:row>28</xdr:row>
          <xdr:rowOff>147638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4</xdr:row>
          <xdr:rowOff>171450</xdr:rowOff>
        </xdr:from>
        <xdr:to>
          <xdr:col>18</xdr:col>
          <xdr:colOff>280988</xdr:colOff>
          <xdr:row>5</xdr:row>
          <xdr:rowOff>161925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2917" y="929700"/>
          <a:ext cx="9424459" cy="482234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38792" y="971622"/>
          <a:ext cx="9408584" cy="479629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083" y="1307042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7259" y="1308100"/>
          <a:ext cx="259793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8152" y="7216347"/>
          <a:ext cx="288354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1004888</xdr:colOff>
          <xdr:row>3</xdr:row>
          <xdr:rowOff>23813</xdr:rowOff>
        </xdr:from>
        <xdr:to>
          <xdr:col>15</xdr:col>
          <xdr:colOff>90488</xdr:colOff>
          <xdr:row>3</xdr:row>
          <xdr:rowOff>419100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176213</xdr:colOff>
          <xdr:row>12</xdr:row>
          <xdr:rowOff>133350</xdr:rowOff>
        </xdr:from>
        <xdr:to>
          <xdr:col>15</xdr:col>
          <xdr:colOff>328613</xdr:colOff>
          <xdr:row>13</xdr:row>
          <xdr:rowOff>85725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シフト追加（未実装）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8</xdr:row>
      <xdr:rowOff>17860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65654" y="3642124"/>
          <a:ext cx="3648074" cy="215026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13</xdr:row>
          <xdr:rowOff>342900</xdr:rowOff>
        </xdr:from>
        <xdr:to>
          <xdr:col>15</xdr:col>
          <xdr:colOff>314325</xdr:colOff>
          <xdr:row>14</xdr:row>
          <xdr:rowOff>257175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795" name="Picture 747">
          <a:extLst>
            <a:ext uri="{FF2B5EF4-FFF2-40B4-BE49-F238E27FC236}">
              <a16:creationId xmlns:a16="http://schemas.microsoft.com/office/drawing/2014/main" id="{ED1E768C-AB21-4BAC-9C23-3E3AF82E7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showRowColHeaders="0" tabSelected="1" defaultGridColor="0" colorId="63" zoomScale="90" zoomScaleNormal="90" workbookViewId="0">
      <selection activeCell="B12" sqref="B12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50">
        <f ca="1">TODAY()</f>
        <v>43781</v>
      </c>
      <c r="L2" s="51">
        <f ca="1">NOW()-INT(NOW())</f>
        <v>4.6242592594353482E-2</v>
      </c>
      <c r="N2" s="48" t="s">
        <v>85</v>
      </c>
      <c r="U2" s="41"/>
      <c r="AA2" s="38" t="s">
        <v>72</v>
      </c>
      <c r="AB2" s="39"/>
      <c r="AC2" s="35">
        <v>0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50"/>
      <c r="L3" s="51"/>
      <c r="N3" s="52" t="s">
        <v>86</v>
      </c>
      <c r="O3" s="52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34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34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34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34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34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34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34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5" t="s">
        <v>64</v>
      </c>
      <c r="U4" s="38"/>
      <c r="V4" s="39"/>
      <c r="W4" s="39"/>
      <c r="X4" s="40"/>
      <c r="Z4" s="38" t="s">
        <v>73</v>
      </c>
      <c r="AA4" s="39"/>
      <c r="AB4" s="39" t="s">
        <v>74</v>
      </c>
      <c r="AC4" s="39"/>
      <c r="AD4" s="39"/>
      <c r="AE4" s="35">
        <v>0</v>
      </c>
    </row>
    <row r="5" spans="1:36" ht="70.150000000000006" customHeight="1" x14ac:dyDescent="0.7">
      <c r="A5" s="27"/>
      <c r="B5" s="13">
        <v>2</v>
      </c>
      <c r="C5" s="34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9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>予約済</v>
      </c>
      <c r="E5" s="34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34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34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34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34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5" t="s">
        <v>91</v>
      </c>
      <c r="U5" s="38"/>
      <c r="V5" s="39"/>
      <c r="W5" s="39"/>
      <c r="X5" s="40"/>
      <c r="Z5" s="35" t="s">
        <v>69</v>
      </c>
      <c r="AA5" s="35" t="s">
        <v>75</v>
      </c>
      <c r="AB5" s="35" t="s">
        <v>76</v>
      </c>
      <c r="AC5" s="35" t="s">
        <v>77</v>
      </c>
      <c r="AD5" s="35" t="s">
        <v>78</v>
      </c>
      <c r="AE5" s="35" t="s">
        <v>79</v>
      </c>
      <c r="AF5" s="35" t="s">
        <v>80</v>
      </c>
      <c r="AG5" s="35" t="s">
        <v>81</v>
      </c>
      <c r="AH5" s="35" t="s">
        <v>82</v>
      </c>
      <c r="AI5" s="35" t="s">
        <v>83</v>
      </c>
      <c r="AJ5" s="35" t="s">
        <v>84</v>
      </c>
    </row>
    <row r="6" spans="1:36" ht="70.150000000000006" customHeight="1" x14ac:dyDescent="0.7">
      <c r="A6" s="27"/>
      <c r="B6" s="13">
        <v>3</v>
      </c>
      <c r="C6" s="34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34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34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34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34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34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34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6" t="s">
        <v>71</v>
      </c>
      <c r="Z6" s="35">
        <v>1</v>
      </c>
      <c r="AA6" s="35" t="str">
        <f ca="1">IFERROR(IF(INDEX(生データ!$D:$D,MATCH(OFFSET($D$22,$Z6-1,$AE$4-1),生データ!$D:$D,1))=OFFSET($D$22,$Z6-1,$AE$4-1),VLOOKUP(OFFSET($D$22,$Z6-1,$AE$4-1),生データ!$D:$O,COLUMN(C1),TRUE),""),"")</f>
        <v/>
      </c>
      <c r="AB6" s="35" t="str">
        <f ca="1">IFERROR(IF(INDEX(生データ!$D:$D,MATCH(OFFSET($D$22,$Z6-1,$AE$4-1),生データ!$D:$D,1))=OFFSET($D$22,$Z6-1,$AE$4-1),VLOOKUP(OFFSET($D$22,$Z6-1,$AE$4-1),生データ!$D:$O,COLUMN(D1),TRUE),""),"")</f>
        <v/>
      </c>
      <c r="AC6" s="35" t="str">
        <f ca="1">IFERROR(IF(INDEX(生データ!$D:$D,MATCH(OFFSET($D$22,$Z6-1,$AE$4-1),生データ!$D:$D,1))=OFFSET($D$22,$Z6-1,$AE$4-1),VLOOKUP(OFFSET($D$22,$Z6-1,$AE$4-1),生データ!$D:$O,COLUMN(E1),TRUE),""),"")</f>
        <v/>
      </c>
      <c r="AD6" s="35" t="str">
        <f ca="1">IFERROR(IF(INDEX(生データ!$D:$D,MATCH(OFFSET($D$22,$Z6-1,$AE$4-1),生データ!$D:$D,1))=OFFSET($D$22,$Z6-1,$AE$4-1),VLOOKUP(OFFSET($D$22,$Z6-1,$AE$4-1),生データ!$D:$O,COLUMN(F1),TRUE),""),"")</f>
        <v/>
      </c>
      <c r="AE6" s="35" t="str">
        <f ca="1">IFERROR(IF(INDEX(生データ!$D:$D,MATCH(OFFSET($D$22,$Z6-1,$AE$4-1),生データ!$D:$D,1))=OFFSET($D$22,$Z6-1,$AE$4-1),VLOOKUP(OFFSET($D$22,$Z6-1,$AE$4-1),生データ!$D:$O,COLUMN(G1),TRUE),""),"")</f>
        <v/>
      </c>
      <c r="AF6" s="35" t="str">
        <f ca="1">IFERROR(IF(INDEX(生データ!$D:$D,MATCH(OFFSET($D$22,$Z6-1,$AE$4-1),生データ!$D:$D,1))=OFFSET($D$22,$Z6-1,$AE$4-1),VLOOKUP(OFFSET($D$22,$Z6-1,$AE$4-1),生データ!$D:$O,COLUMN(H1),TRUE),""),"")</f>
        <v/>
      </c>
      <c r="AG6" s="35" t="str">
        <f ca="1">IFERROR(IF(INDEX(生データ!$D:$D,MATCH(OFFSET($D$22,$Z6-1,$AE$4-1),生データ!$D:$D,1))=OFFSET($D$22,$Z6-1,$AE$4-1),VLOOKUP(OFFSET($D$22,$Z6-1,$AE$4-1),生データ!$D:$O,COLUMN(I1),TRUE),""),"")</f>
        <v/>
      </c>
      <c r="AH6" s="35" t="str">
        <f ca="1">IFERROR(IF(INDEX(生データ!$D:$D,MATCH(OFFSET($D$22,$Z6-1,$AE$4-1),生データ!$D:$D,1))=OFFSET($D$22,$Z6-1,$AE$4-1),VLOOKUP(OFFSET($D$22,$Z6-1,$AE$4-1),生データ!$D:$O,COLUMN(J1),TRUE),""),"")</f>
        <v/>
      </c>
      <c r="AI6" s="35" t="str">
        <f ca="1">IFERROR(IF(INDEX(生データ!$D:$D,MATCH(OFFSET($D$22,$Z6-1,$AE$4-1),生データ!$D:$D,1))=OFFSET($D$22,$Z6-1,$AE$4-1),VLOOKUP(OFFSET($D$22,$Z6-1,$AE$4-1),生データ!$D:$O,COLUMN(K1),TRUE),""),"")</f>
        <v/>
      </c>
      <c r="AJ6" s="35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34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34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34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34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34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34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34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5"/>
      <c r="U7" s="35"/>
      <c r="V7" s="35"/>
      <c r="W7" s="35"/>
      <c r="X7" s="35"/>
      <c r="Z7" s="35">
        <v>2</v>
      </c>
      <c r="AA7" s="35" t="str">
        <f ca="1">IFERROR(IF(INDEX(生データ!$D:$D,MATCH(OFFSET($D$22,$Z7-1,$AE$4-1),生データ!$D:$D,1))=OFFSET($D$22,$Z7-1,$AE$4-1),VLOOKUP(OFFSET($D$22,$Z7-1,$AE$4-1),生データ!$D:$O,COLUMN(C2),TRUE),""),"")</f>
        <v/>
      </c>
      <c r="AB7" s="35" t="str">
        <f ca="1">IFERROR(IF(INDEX(生データ!$D:$D,MATCH(OFFSET($D$22,$Z7-1,$AE$4-1),生データ!$D:$D,1))=OFFSET($D$22,$Z7-1,$AE$4-1),VLOOKUP(OFFSET($D$22,$Z7-1,$AE$4-1),生データ!$D:$O,COLUMN(D2),TRUE),""),"")</f>
        <v/>
      </c>
      <c r="AC7" s="35" t="str">
        <f ca="1">IFERROR(IF(INDEX(生データ!$D:$D,MATCH(OFFSET($D$22,$Z7-1,$AE$4-1),生データ!$D:$D,1))=OFFSET($D$22,$Z7-1,$AE$4-1),VLOOKUP(OFFSET($D$22,$Z7-1,$AE$4-1),生データ!$D:$O,COLUMN(E2),TRUE),""),"")</f>
        <v/>
      </c>
      <c r="AD7" s="35" t="str">
        <f ca="1">IFERROR(IF(INDEX(生データ!$D:$D,MATCH(OFFSET($D$22,$Z7-1,$AE$4-1),生データ!$D:$D,1))=OFFSET($D$22,$Z7-1,$AE$4-1),VLOOKUP(OFFSET($D$22,$Z7-1,$AE$4-1),生データ!$D:$O,COLUMN(F2),TRUE),""),"")</f>
        <v/>
      </c>
      <c r="AE7" s="35" t="str">
        <f ca="1">IFERROR(IF(INDEX(生データ!$D:$D,MATCH(OFFSET($D$22,$Z7-1,$AE$4-1),生データ!$D:$D,1))=OFFSET($D$22,$Z7-1,$AE$4-1),VLOOKUP(OFFSET($D$22,$Z7-1,$AE$4-1),生データ!$D:$O,COLUMN(G2),TRUE),""),"")</f>
        <v/>
      </c>
      <c r="AF7" s="35" t="str">
        <f ca="1">IFERROR(IF(INDEX(生データ!$D:$D,MATCH(OFFSET($D$22,$Z7-1,$AE$4-1),生データ!$D:$D,1))=OFFSET($D$22,$Z7-1,$AE$4-1),VLOOKUP(OFFSET($D$22,$Z7-1,$AE$4-1),生データ!$D:$O,COLUMN(H2),TRUE),""),"")</f>
        <v/>
      </c>
      <c r="AG7" s="35" t="str">
        <f ca="1">IFERROR(IF(INDEX(生データ!$D:$D,MATCH(OFFSET($D$22,$Z7-1,$AE$4-1),生データ!$D:$D,1))=OFFSET($D$22,$Z7-1,$AE$4-1),VLOOKUP(OFFSET($D$22,$Z7-1,$AE$4-1),生データ!$D:$O,COLUMN(I2),TRUE),""),"")</f>
        <v/>
      </c>
      <c r="AH7" s="35" t="str">
        <f ca="1">IFERROR(IF(INDEX(生データ!$D:$D,MATCH(OFFSET($D$22,$Z7-1,$AE$4-1),生データ!$D:$D,1))=OFFSET($D$22,$Z7-1,$AE$4-1),VLOOKUP(OFFSET($D$22,$Z7-1,$AE$4-1),生データ!$D:$O,COLUMN(J2),TRUE),""),"")</f>
        <v/>
      </c>
      <c r="AI7" s="35" t="str">
        <f ca="1">IFERROR(IF(INDEX(生データ!$D:$D,MATCH(OFFSET($D$22,$Z7-1,$AE$4-1),生データ!$D:$D,1))=OFFSET($D$22,$Z7-1,$AE$4-1),VLOOKUP(OFFSET($D$22,$Z7-1,$AE$4-1),生データ!$D:$O,COLUMN(K2),TRUE),""),"")</f>
        <v/>
      </c>
      <c r="AJ7" s="35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34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34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34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34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34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34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4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5">
        <v>3</v>
      </c>
      <c r="AA8" s="35" t="str">
        <f ca="1">IFERROR(IF(INDEX(生データ!$D:$D,MATCH(OFFSET($D$22,$Z8-1,$AE$4-1),生データ!$D:$D,1))=OFFSET($D$22,$Z8-1,$AE$4-1),VLOOKUP(OFFSET($D$22,$Z8-1,$AE$4-1),生データ!$D:$O,COLUMN(C3),TRUE),""),"")</f>
        <v/>
      </c>
      <c r="AB8" s="35" t="str">
        <f ca="1">IFERROR(IF(INDEX(生データ!$D:$D,MATCH(OFFSET($D$22,$Z8-1,$AE$4-1),生データ!$D:$D,1))=OFFSET($D$22,$Z8-1,$AE$4-1),VLOOKUP(OFFSET($D$22,$Z8-1,$AE$4-1),生データ!$D:$O,COLUMN(D3),TRUE),""),"")</f>
        <v/>
      </c>
      <c r="AC8" s="35" t="str">
        <f ca="1">IFERROR(IF(INDEX(生データ!$D:$D,MATCH(OFFSET($D$22,$Z8-1,$AE$4-1),生データ!$D:$D,1))=OFFSET($D$22,$Z8-1,$AE$4-1),VLOOKUP(OFFSET($D$22,$Z8-1,$AE$4-1),生データ!$D:$O,COLUMN(E3),TRUE),""),"")</f>
        <v/>
      </c>
      <c r="AD8" s="35" t="str">
        <f ca="1">IFERROR(IF(INDEX(生データ!$D:$D,MATCH(OFFSET($D$22,$Z8-1,$AE$4-1),生データ!$D:$D,1))=OFFSET($D$22,$Z8-1,$AE$4-1),VLOOKUP(OFFSET($D$22,$Z8-1,$AE$4-1),生データ!$D:$O,COLUMN(F3),TRUE),""),"")</f>
        <v/>
      </c>
      <c r="AE8" s="35" t="str">
        <f ca="1">IFERROR(IF(INDEX(生データ!$D:$D,MATCH(OFFSET($D$22,$Z8-1,$AE$4-1),生データ!$D:$D,1))=OFFSET($D$22,$Z8-1,$AE$4-1),VLOOKUP(OFFSET($D$22,$Z8-1,$AE$4-1),生データ!$D:$O,COLUMN(G3),TRUE),""),"")</f>
        <v/>
      </c>
      <c r="AF8" s="35" t="str">
        <f ca="1">IFERROR(IF(INDEX(生データ!$D:$D,MATCH(OFFSET($D$22,$Z8-1,$AE$4-1),生データ!$D:$D,1))=OFFSET($D$22,$Z8-1,$AE$4-1),VLOOKUP(OFFSET($D$22,$Z8-1,$AE$4-1),生データ!$D:$O,COLUMN(H3),TRUE),""),"")</f>
        <v/>
      </c>
      <c r="AG8" s="35" t="str">
        <f ca="1">IFERROR(IF(INDEX(生データ!$D:$D,MATCH(OFFSET($D$22,$Z8-1,$AE$4-1),生データ!$D:$D,1))=OFFSET($D$22,$Z8-1,$AE$4-1),VLOOKUP(OFFSET($D$22,$Z8-1,$AE$4-1),生データ!$D:$O,COLUMN(I3),TRUE),""),"")</f>
        <v/>
      </c>
      <c r="AH8" s="35" t="str">
        <f ca="1">IFERROR(IF(INDEX(生データ!$D:$D,MATCH(OFFSET($D$22,$Z8-1,$AE$4-1),生データ!$D:$D,1))=OFFSET($D$22,$Z8-1,$AE$4-1),VLOOKUP(OFFSET($D$22,$Z8-1,$AE$4-1),生データ!$D:$O,COLUMN(J3),TRUE),""),"")</f>
        <v/>
      </c>
      <c r="AI8" s="35" t="str">
        <f ca="1">IFERROR(IF(INDEX(生データ!$D:$D,MATCH(OFFSET($D$22,$Z8-1,$AE$4-1),生データ!$D:$D,1))=OFFSET($D$22,$Z8-1,$AE$4-1),VLOOKUP(OFFSET($D$22,$Z8-1,$AE$4-1),生データ!$D:$O,COLUMN(K3),TRUE),""),"")</f>
        <v/>
      </c>
      <c r="AJ8" s="35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5">
        <v>4</v>
      </c>
      <c r="AA9" s="35" t="str">
        <f ca="1">IFERROR(IF(INDEX(生データ!$D:$D,MATCH(OFFSET($D$22,$Z9-1,$AE$4-1),生データ!$D:$D,1))=OFFSET($D$22,$Z9-1,$AE$4-1),VLOOKUP(OFFSET($D$22,$Z9-1,$AE$4-1),生データ!$D:$O,COLUMN(C4),TRUE),""),"")</f>
        <v/>
      </c>
      <c r="AB9" s="35" t="str">
        <f ca="1">IFERROR(IF(INDEX(生データ!$D:$D,MATCH(OFFSET($D$22,$Z9-1,$AE$4-1),生データ!$D:$D,1))=OFFSET($D$22,$Z9-1,$AE$4-1),VLOOKUP(OFFSET($D$22,$Z9-1,$AE$4-1),生データ!$D:$O,COLUMN(D4),TRUE),""),"")</f>
        <v/>
      </c>
      <c r="AC9" s="35" t="str">
        <f ca="1">IFERROR(IF(INDEX(生データ!$D:$D,MATCH(OFFSET($D$22,$Z9-1,$AE$4-1),生データ!$D:$D,1))=OFFSET($D$22,$Z9-1,$AE$4-1),VLOOKUP(OFFSET($D$22,$Z9-1,$AE$4-1),生データ!$D:$O,COLUMN(E4),TRUE),""),"")</f>
        <v/>
      </c>
      <c r="AD9" s="35" t="str">
        <f ca="1">IFERROR(IF(INDEX(生データ!$D:$D,MATCH(OFFSET($D$22,$Z9-1,$AE$4-1),生データ!$D:$D,1))=OFFSET($D$22,$Z9-1,$AE$4-1),VLOOKUP(OFFSET($D$22,$Z9-1,$AE$4-1),生データ!$D:$O,COLUMN(F4),TRUE),""),"")</f>
        <v/>
      </c>
      <c r="AE9" s="35" t="str">
        <f ca="1">IFERROR(IF(INDEX(生データ!$D:$D,MATCH(OFFSET($D$22,$Z9-1,$AE$4-1),生データ!$D:$D,1))=OFFSET($D$22,$Z9-1,$AE$4-1),VLOOKUP(OFFSET($D$22,$Z9-1,$AE$4-1),生データ!$D:$O,COLUMN(G4),TRUE),""),"")</f>
        <v/>
      </c>
      <c r="AF9" s="35" t="str">
        <f ca="1">IFERROR(IF(INDEX(生データ!$D:$D,MATCH(OFFSET($D$22,$Z9-1,$AE$4-1),生データ!$D:$D,1))=OFFSET($D$22,$Z9-1,$AE$4-1),VLOOKUP(OFFSET($D$22,$Z9-1,$AE$4-1),生データ!$D:$O,COLUMN(H4),TRUE),""),"")</f>
        <v/>
      </c>
      <c r="AG9" s="35" t="str">
        <f ca="1">IFERROR(IF(INDEX(生データ!$D:$D,MATCH(OFFSET($D$22,$Z9-1,$AE$4-1),生データ!$D:$D,1))=OFFSET($D$22,$Z9-1,$AE$4-1),VLOOKUP(OFFSET($D$22,$Z9-1,$AE$4-1),生データ!$D:$O,COLUMN(I4),TRUE),""),"")</f>
        <v/>
      </c>
      <c r="AH9" s="35" t="str">
        <f ca="1">IFERROR(IF(INDEX(生データ!$D:$D,MATCH(OFFSET($D$22,$Z9-1,$AE$4-1),生データ!$D:$D,1))=OFFSET($D$22,$Z9-1,$AE$4-1),VLOOKUP(OFFSET($D$22,$Z9-1,$AE$4-1),生データ!$D:$O,COLUMN(J4),TRUE),""),"")</f>
        <v/>
      </c>
      <c r="AI9" s="35" t="str">
        <f ca="1">IFERROR(IF(INDEX(生データ!$D:$D,MATCH(OFFSET($D$22,$Z9-1,$AE$4-1),生データ!$D:$D,1))=OFFSET($D$22,$Z9-1,$AE$4-1),VLOOKUP(OFFSET($D$22,$Z9-1,$AE$4-1),生データ!$D:$O,COLUMN(K4),TRUE),""),"")</f>
        <v/>
      </c>
      <c r="AJ9" s="35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5">
        <v>5</v>
      </c>
      <c r="AA10" s="35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5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5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5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5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5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5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5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5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5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T13" t="s">
        <v>89</v>
      </c>
    </row>
    <row r="14" spans="1:36" ht="30" customHeight="1" x14ac:dyDescent="0.7">
      <c r="H14" s="1"/>
      <c r="T14" s="35">
        <v>2</v>
      </c>
      <c r="U14" s="38"/>
      <c r="V14" s="39" t="s">
        <v>68</v>
      </c>
      <c r="W14" s="39"/>
      <c r="X14" s="40"/>
    </row>
    <row r="15" spans="1:36" ht="30" customHeight="1" x14ac:dyDescent="0.7">
      <c r="B15" s="3"/>
      <c r="T15" s="46"/>
      <c r="U15" s="42"/>
      <c r="V15" s="42"/>
      <c r="W15" s="42"/>
      <c r="X15" s="43"/>
    </row>
    <row r="16" spans="1:36" ht="29.45" customHeight="1" x14ac:dyDescent="0.7">
      <c r="T16" s="47" t="s">
        <v>64</v>
      </c>
      <c r="U16" s="44"/>
      <c r="V16" s="44"/>
      <c r="W16" s="44"/>
      <c r="X16" s="45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20191112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2019111211</v>
      </c>
      <c r="E22" s="3">
        <f t="shared" ref="E22:J22" ca="1" si="0">$C$21*100+E$21*10+$C22</f>
        <v>2019111221</v>
      </c>
      <c r="F22" s="3">
        <f t="shared" ca="1" si="0"/>
        <v>2019111231</v>
      </c>
      <c r="G22" s="3">
        <f t="shared" ca="1" si="0"/>
        <v>2019111241</v>
      </c>
      <c r="H22" s="3">
        <f t="shared" ca="1" si="0"/>
        <v>2019111251</v>
      </c>
      <c r="I22" s="3">
        <f t="shared" ca="1" si="0"/>
        <v>2019111261</v>
      </c>
      <c r="J22" s="3">
        <f t="shared" ca="1" si="0"/>
        <v>2019111271</v>
      </c>
    </row>
    <row r="23" spans="3:10" hidden="1" x14ac:dyDescent="0.7">
      <c r="C23" s="3">
        <v>2</v>
      </c>
      <c r="D23" s="3">
        <f t="shared" ref="D23:J26" ca="1" si="1">$C$21*100+D$21*10+$C23</f>
        <v>2019111212</v>
      </c>
      <c r="E23" s="3">
        <f t="shared" ca="1" si="1"/>
        <v>2019111222</v>
      </c>
      <c r="F23" s="3">
        <f t="shared" ca="1" si="1"/>
        <v>2019111232</v>
      </c>
      <c r="G23" s="3">
        <f t="shared" ca="1" si="1"/>
        <v>2019111242</v>
      </c>
      <c r="H23" s="3">
        <f t="shared" ca="1" si="1"/>
        <v>2019111252</v>
      </c>
      <c r="I23" s="3">
        <f t="shared" ca="1" si="1"/>
        <v>2019111262</v>
      </c>
      <c r="J23" s="3">
        <f t="shared" ca="1" si="1"/>
        <v>2019111272</v>
      </c>
    </row>
    <row r="24" spans="3:10" hidden="1" x14ac:dyDescent="0.7">
      <c r="C24" s="3">
        <v>3</v>
      </c>
      <c r="D24" s="3">
        <f t="shared" ca="1" si="1"/>
        <v>2019111213</v>
      </c>
      <c r="E24" s="3">
        <f t="shared" ca="1" si="1"/>
        <v>2019111223</v>
      </c>
      <c r="F24" s="3">
        <f t="shared" ca="1" si="1"/>
        <v>2019111233</v>
      </c>
      <c r="G24" s="3">
        <f t="shared" ca="1" si="1"/>
        <v>2019111243</v>
      </c>
      <c r="H24" s="3">
        <f t="shared" ca="1" si="1"/>
        <v>2019111253</v>
      </c>
      <c r="I24" s="3">
        <f t="shared" ca="1" si="1"/>
        <v>2019111263</v>
      </c>
      <c r="J24" s="3">
        <f t="shared" ca="1" si="1"/>
        <v>2019111273</v>
      </c>
    </row>
    <row r="25" spans="3:10" hidden="1" x14ac:dyDescent="0.7">
      <c r="C25" s="3">
        <v>4</v>
      </c>
      <c r="D25" s="3">
        <f t="shared" ca="1" si="1"/>
        <v>2019111214</v>
      </c>
      <c r="E25" s="3">
        <f t="shared" ca="1" si="1"/>
        <v>2019111224</v>
      </c>
      <c r="F25" s="3">
        <f t="shared" ca="1" si="1"/>
        <v>2019111234</v>
      </c>
      <c r="G25" s="3">
        <f t="shared" ca="1" si="1"/>
        <v>2019111244</v>
      </c>
      <c r="H25" s="3">
        <f t="shared" ca="1" si="1"/>
        <v>2019111254</v>
      </c>
      <c r="I25" s="3">
        <f t="shared" ca="1" si="1"/>
        <v>2019111264</v>
      </c>
      <c r="J25" s="3">
        <f t="shared" ca="1" si="1"/>
        <v>2019111274</v>
      </c>
    </row>
    <row r="26" spans="3:10" hidden="1" x14ac:dyDescent="0.7">
      <c r="C26" s="3">
        <v>5</v>
      </c>
      <c r="D26" s="3">
        <f t="shared" ca="1" si="1"/>
        <v>2019111215</v>
      </c>
      <c r="E26" s="3">
        <f t="shared" ca="1" si="1"/>
        <v>2019111225</v>
      </c>
      <c r="F26" s="3">
        <f t="shared" ca="1" si="1"/>
        <v>2019111235</v>
      </c>
      <c r="G26" s="3">
        <f t="shared" ca="1" si="1"/>
        <v>2019111245</v>
      </c>
      <c r="H26" s="3">
        <f t="shared" ca="1" si="1"/>
        <v>2019111255</v>
      </c>
      <c r="I26" s="3">
        <f t="shared" ca="1" si="1"/>
        <v>2019111265</v>
      </c>
      <c r="J26" s="3">
        <f t="shared" ca="1" si="1"/>
        <v>2019111275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19</xdr:col>
                    <xdr:colOff>61913</xdr:colOff>
                    <xdr:row>26</xdr:row>
                    <xdr:rowOff>104775</xdr:rowOff>
                  </from>
                  <to>
                    <xdr:col>24</xdr:col>
                    <xdr:colOff>314325</xdr:colOff>
                    <xdr:row>28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581025</xdr:colOff>
                    <xdr:row>4</xdr:row>
                    <xdr:rowOff>171450</xdr:rowOff>
                  </from>
                  <to>
                    <xdr:col>18</xdr:col>
                    <xdr:colOff>280988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12</xdr:col>
                    <xdr:colOff>1004888</xdr:colOff>
                    <xdr:row>3</xdr:row>
                    <xdr:rowOff>23813</xdr:rowOff>
                  </from>
                  <to>
                    <xdr:col>15</xdr:col>
                    <xdr:colOff>90488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13</xdr:col>
                    <xdr:colOff>176213</xdr:colOff>
                    <xdr:row>12</xdr:row>
                    <xdr:rowOff>133350</xdr:rowOff>
                  </from>
                  <to>
                    <xdr:col>15</xdr:col>
                    <xdr:colOff>328613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13</xdr:col>
                    <xdr:colOff>171450</xdr:colOff>
                    <xdr:row>13</xdr:row>
                    <xdr:rowOff>342900</xdr:rowOff>
                  </from>
                  <to>
                    <xdr:col>15</xdr:col>
                    <xdr:colOff>314325</xdr:colOff>
                    <xdr:row>14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G7" sqref="G7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90</v>
      </c>
    </row>
    <row r="2" spans="1:12" x14ac:dyDescent="0.7">
      <c r="A2" s="26"/>
      <c r="B2" s="26"/>
      <c r="C2" s="26"/>
      <c r="D2" s="26"/>
      <c r="E2" s="26"/>
      <c r="F2" s="26"/>
      <c r="G2" s="26">
        <v>1907</v>
      </c>
      <c r="H2" s="26"/>
      <c r="I2" s="26"/>
      <c r="J2" s="26"/>
      <c r="K2" s="26"/>
      <c r="L2" s="26"/>
    </row>
    <row r="3" spans="1:12" x14ac:dyDescent="0.7">
      <c r="A3" s="26"/>
      <c r="B3" s="26"/>
      <c r="C3" s="26"/>
      <c r="D3" s="26"/>
      <c r="E3" s="37"/>
      <c r="F3" s="26"/>
      <c r="G3" s="26"/>
      <c r="H3" s="26"/>
      <c r="I3" s="26"/>
      <c r="J3" s="26"/>
      <c r="K3" s="26"/>
      <c r="L3" s="26"/>
    </row>
    <row r="4" spans="1:12" x14ac:dyDescent="0.7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</row>
    <row r="5" spans="1:12" x14ac:dyDescent="0.7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7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 x14ac:dyDescent="0.7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9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30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92" spans="6:35" s="16" customFormat="1" x14ac:dyDescent="0.7"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</row>
    <row r="93" spans="6:35" s="16" customFormat="1" x14ac:dyDescent="0.7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</row>
    <row r="94" spans="6:35" s="18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18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19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19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25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21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5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5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1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5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5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1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5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1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1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5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5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1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9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5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3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1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1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5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3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3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1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6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6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6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6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6" customFormat="1" x14ac:dyDescent="0.7"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6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6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6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6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6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6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6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6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6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6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6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</sheetData>
  <sortState xmlns:xlrd2="http://schemas.microsoft.com/office/spreadsheetml/2017/richdata2" ref="A2:AA230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20191112</v>
      </c>
      <c r="B1">
        <v>20191112</v>
      </c>
    </row>
    <row r="2" spans="1:2" s="26" customFormat="1" x14ac:dyDescent="0.7">
      <c r="A2" s="26">
        <v>342599567</v>
      </c>
      <c r="B2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0"/>
  <sheetViews>
    <sheetView workbookViewId="0">
      <selection activeCell="C25" sqref="C25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43778</v>
      </c>
      <c r="B21" s="24">
        <v>43778.833333333336</v>
      </c>
      <c r="C21" s="22">
        <v>0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/>
      <c r="B23" s="24"/>
      <c r="C23" s="26"/>
    </row>
    <row r="24" spans="1:13" s="22" customFormat="1" x14ac:dyDescent="0.7">
      <c r="A24" s="24"/>
      <c r="B24" s="24"/>
      <c r="C24" s="26"/>
    </row>
    <row r="25" spans="1:13" s="22" customFormat="1" x14ac:dyDescent="0.7">
      <c r="A25" s="24"/>
      <c r="B25" s="24"/>
    </row>
    <row r="26" spans="1:13" s="22" customFormat="1" x14ac:dyDescent="0.7">
      <c r="A26" s="24"/>
      <c r="B26" s="24"/>
    </row>
    <row r="27" spans="1:13" s="22" customFormat="1" x14ac:dyDescent="0.7">
      <c r="A27" s="24"/>
      <c r="B27" s="24"/>
    </row>
    <row r="28" spans="1:13" s="22" customFormat="1" x14ac:dyDescent="0.7">
      <c r="A28" s="24"/>
      <c r="B28" s="24"/>
    </row>
    <row r="29" spans="1:13" s="22" customFormat="1" x14ac:dyDescent="0.7">
      <c r="A29" s="24"/>
      <c r="B29" s="24"/>
    </row>
    <row r="30" spans="1:13" s="22" customFormat="1" x14ac:dyDescent="0.7">
      <c r="A30" s="24"/>
      <c r="B30" s="24"/>
    </row>
    <row r="31" spans="1:13" s="22" customFormat="1" x14ac:dyDescent="0.7">
      <c r="A31" s="24"/>
      <c r="B31" s="24"/>
    </row>
    <row r="32" spans="1:13" s="22" customFormat="1" x14ac:dyDescent="0.7">
      <c r="A32" s="24"/>
      <c r="B32" s="24"/>
    </row>
    <row r="33" spans="1:2" s="22" customFormat="1" x14ac:dyDescent="0.7">
      <c r="A33" s="24"/>
      <c r="B33" s="24"/>
    </row>
    <row r="34" spans="1:2" s="22" customFormat="1" x14ac:dyDescent="0.7">
      <c r="A34" s="24"/>
      <c r="B34" s="24"/>
    </row>
    <row r="35" spans="1:2" s="22" customFormat="1" x14ac:dyDescent="0.7">
      <c r="A35" s="24"/>
      <c r="B35" s="24"/>
    </row>
    <row r="36" spans="1:2" s="22" customFormat="1" x14ac:dyDescent="0.7">
      <c r="A36" s="24"/>
      <c r="B36" s="24"/>
    </row>
    <row r="37" spans="1:2" s="22" customFormat="1" x14ac:dyDescent="0.7">
      <c r="A37" s="24"/>
      <c r="B37" s="24"/>
    </row>
    <row r="38" spans="1:2" s="22" customFormat="1" x14ac:dyDescent="0.7">
      <c r="A38" s="24"/>
      <c r="B38" s="24"/>
    </row>
    <row r="39" spans="1:2" s="22" customFormat="1" x14ac:dyDescent="0.7">
      <c r="A39" s="24"/>
      <c r="B39" s="24"/>
    </row>
    <row r="40" spans="1:2" s="22" customFormat="1" x14ac:dyDescent="0.7">
      <c r="A40" s="24"/>
      <c r="B40" s="24"/>
    </row>
    <row r="41" spans="1:2" s="22" customFormat="1" x14ac:dyDescent="0.7">
      <c r="A41" s="24"/>
      <c r="B41" s="24"/>
    </row>
    <row r="42" spans="1:2" s="22" customFormat="1" x14ac:dyDescent="0.7">
      <c r="A42" s="24"/>
      <c r="B42" s="24"/>
    </row>
    <row r="43" spans="1:2" s="22" customFormat="1" x14ac:dyDescent="0.7">
      <c r="A43" s="24"/>
      <c r="B43" s="24"/>
    </row>
    <row r="44" spans="1:2" s="22" customFormat="1" x14ac:dyDescent="0.7">
      <c r="A44" s="24"/>
      <c r="B44" s="24"/>
    </row>
    <row r="45" spans="1:2" s="22" customFormat="1" x14ac:dyDescent="0.7">
      <c r="A45" s="24"/>
      <c r="B45" s="24"/>
    </row>
    <row r="46" spans="1:2" s="22" customFormat="1" x14ac:dyDescent="0.7">
      <c r="A46" s="24"/>
      <c r="B46" s="24"/>
    </row>
    <row r="47" spans="1:2" s="22" customFormat="1" x14ac:dyDescent="0.7">
      <c r="A47" s="24"/>
      <c r="B47" s="24"/>
    </row>
    <row r="48" spans="1:2" s="22" customFormat="1" x14ac:dyDescent="0.7">
      <c r="A48" s="24"/>
      <c r="B48" s="24"/>
    </row>
    <row r="49" spans="1:4" x14ac:dyDescent="0.7">
      <c r="A49" s="4"/>
      <c r="C49" s="3"/>
      <c r="D49" s="3"/>
    </row>
    <row r="50" spans="1:4" s="22" customFormat="1" x14ac:dyDescent="0.7">
      <c r="A50" s="4"/>
      <c r="B50" s="24"/>
      <c r="C50" s="3"/>
      <c r="D50" s="3"/>
    </row>
    <row r="51" spans="1:4" s="22" customFormat="1" x14ac:dyDescent="0.7">
      <c r="A51" s="4"/>
      <c r="B51" s="24"/>
      <c r="C51" s="3"/>
      <c r="D51" s="3"/>
    </row>
    <row r="52" spans="1:4" s="22" customFormat="1" x14ac:dyDescent="0.7">
      <c r="A52" s="4"/>
      <c r="B52" s="24"/>
      <c r="C52" s="3"/>
      <c r="D52" s="3"/>
    </row>
    <row r="53" spans="1:4" s="22" customFormat="1" x14ac:dyDescent="0.7">
      <c r="A53" s="4"/>
      <c r="B53" s="24"/>
      <c r="C53" s="3"/>
      <c r="D53" s="3"/>
    </row>
    <row r="54" spans="1:4" s="22" customFormat="1" x14ac:dyDescent="0.7">
      <c r="A54" s="4"/>
      <c r="B54" s="24"/>
      <c r="C54" s="3"/>
      <c r="D54" s="3"/>
    </row>
    <row r="55" spans="1:4" s="22" customFormat="1" x14ac:dyDescent="0.7">
      <c r="A55" s="4"/>
      <c r="B55" s="24"/>
      <c r="C55" s="3"/>
      <c r="D55" s="3"/>
    </row>
    <row r="56" spans="1:4" s="22" customFormat="1" x14ac:dyDescent="0.7">
      <c r="A56" s="4"/>
      <c r="B56" s="24"/>
      <c r="C56" s="3"/>
      <c r="D56" s="3"/>
    </row>
    <row r="57" spans="1:4" s="22" customFormat="1" x14ac:dyDescent="0.7">
      <c r="A57" s="4"/>
      <c r="B57" s="24"/>
      <c r="C57" s="3"/>
      <c r="D57" s="3"/>
    </row>
    <row r="58" spans="1:4" s="22" customFormat="1" x14ac:dyDescent="0.7">
      <c r="A58" s="4"/>
      <c r="B58" s="2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x14ac:dyDescent="0.7">
      <c r="A68" s="4"/>
      <c r="C68" s="3"/>
      <c r="D68" s="3"/>
    </row>
    <row r="69" spans="1:4" x14ac:dyDescent="0.7">
      <c r="A69" s="4"/>
      <c r="C69" s="3"/>
      <c r="D69" s="3"/>
    </row>
    <row r="70" spans="1:4" x14ac:dyDescent="0.7">
      <c r="A70" s="4"/>
      <c r="C70" s="3"/>
      <c r="D70" s="3"/>
    </row>
    <row r="71" spans="1:4" x14ac:dyDescent="0.7">
      <c r="A71" s="4"/>
      <c r="C71" s="3"/>
      <c r="D71" s="3"/>
    </row>
    <row r="72" spans="1:4" x14ac:dyDescent="0.7">
      <c r="A72" s="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s="22" customFormat="1" x14ac:dyDescent="0.7">
      <c r="A77" s="4"/>
      <c r="B77" s="24"/>
      <c r="C77" s="3"/>
      <c r="D77" s="3"/>
    </row>
    <row r="78" spans="1:4" s="22" customFormat="1" x14ac:dyDescent="0.7">
      <c r="A78" s="4"/>
      <c r="B78" s="24"/>
      <c r="C78" s="3"/>
      <c r="D78" s="3"/>
    </row>
    <row r="79" spans="1:4" s="22" customFormat="1" x14ac:dyDescent="0.7">
      <c r="A79" s="4"/>
      <c r="B79" s="24"/>
      <c r="C79" s="3"/>
      <c r="D79" s="3"/>
    </row>
    <row r="80" spans="1:4" s="22" customFormat="1" x14ac:dyDescent="0.7">
      <c r="A80" s="4"/>
      <c r="B80" s="24"/>
      <c r="C80" s="3"/>
      <c r="D80" s="3"/>
    </row>
    <row r="81" spans="1:4" s="22" customFormat="1" x14ac:dyDescent="0.7">
      <c r="A81" s="4"/>
      <c r="B81" s="2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24"/>
      <c r="B85" s="24"/>
      <c r="C85" s="3"/>
    </row>
    <row r="86" spans="1:4" s="22" customFormat="1" x14ac:dyDescent="0.7">
      <c r="A86" s="24"/>
      <c r="B86" s="24"/>
      <c r="C86" s="3"/>
    </row>
    <row r="87" spans="1:4" s="22" customFormat="1" x14ac:dyDescent="0.7">
      <c r="A87" s="24"/>
      <c r="B87" s="24"/>
      <c r="C87" s="3"/>
    </row>
    <row r="88" spans="1:4" s="22" customFormat="1" x14ac:dyDescent="0.7">
      <c r="A88" s="24"/>
      <c r="B88" s="24"/>
      <c r="C88" s="3"/>
    </row>
    <row r="89" spans="1:4" s="22" customFormat="1" x14ac:dyDescent="0.7">
      <c r="A89" s="24"/>
      <c r="B89" s="24"/>
      <c r="C89" s="3"/>
    </row>
    <row r="90" spans="1:4" s="22" customFormat="1" x14ac:dyDescent="0.7">
      <c r="A90" s="24"/>
      <c r="B90" s="24"/>
      <c r="C90" s="3"/>
    </row>
    <row r="91" spans="1:4" s="22" customFormat="1" x14ac:dyDescent="0.7">
      <c r="A91" s="24"/>
      <c r="B91" s="24"/>
      <c r="C91"/>
    </row>
    <row r="92" spans="1:4" s="22" customFormat="1" x14ac:dyDescent="0.7">
      <c r="A92" s="24"/>
      <c r="B92" s="24"/>
      <c r="C92"/>
    </row>
    <row r="93" spans="1:4" s="22" customFormat="1" x14ac:dyDescent="0.7">
      <c r="A93" s="24"/>
      <c r="B93" s="24"/>
      <c r="C93"/>
    </row>
    <row r="94" spans="1:4" s="22" customFormat="1" x14ac:dyDescent="0.7">
      <c r="A94" s="24"/>
      <c r="B94" s="24"/>
      <c r="C94"/>
    </row>
    <row r="95" spans="1:4" s="22" customFormat="1" x14ac:dyDescent="0.7">
      <c r="A95" s="24"/>
      <c r="B95" s="24"/>
      <c r="C95"/>
    </row>
    <row r="96" spans="1:4" s="22" customFormat="1" x14ac:dyDescent="0.7">
      <c r="A96" s="24"/>
      <c r="B96" s="24"/>
      <c r="C96"/>
    </row>
    <row r="97" spans="1:3" s="22" customFormat="1" x14ac:dyDescent="0.7">
      <c r="A97" s="24"/>
      <c r="B97" s="24"/>
      <c r="C97"/>
    </row>
    <row r="98" spans="1:3" s="22" customFormat="1" x14ac:dyDescent="0.7">
      <c r="A98" s="24"/>
      <c r="B98" s="24"/>
      <c r="C98"/>
    </row>
    <row r="99" spans="1:3" s="22" customFormat="1" x14ac:dyDescent="0.7">
      <c r="A99" s="24"/>
      <c r="B99" s="24"/>
      <c r="C99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7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/>
    <row r="3" spans="1:1" s="26" customFormat="1" x14ac:dyDescent="0.7"/>
    <row r="5" spans="1:1" s="26" customFormat="1" x14ac:dyDescent="0.7"/>
    <row r="7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2019-11-11T16:06:36Z</dcterms:modified>
</cp:coreProperties>
</file>