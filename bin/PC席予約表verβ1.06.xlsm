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3.xml" ContentType="application/vnd.ms-excel.controlproperties+xml"/>
  <Override PartName="/xl/drawings/drawing4.xml" ContentType="application/vnd.openxmlformats-officedocument.drawing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adayuii\Documents\GitHub\PCresrveSystem\bin\"/>
    </mc:Choice>
  </mc:AlternateContent>
  <xr:revisionPtr revIDLastSave="0" documentId="13_ncr:1_{5BF8B306-1A14-45E5-89C9-46F016338251}" xr6:coauthVersionLast="41" xr6:coauthVersionMax="41" xr10:uidLastSave="{00000000-0000-0000-0000-000000000000}"/>
  <bookViews>
    <workbookView xWindow="-98" yWindow="-98" windowWidth="30915" windowHeight="16876" xr2:uid="{00000000-000D-0000-FFFF-FFFF00000000}"/>
  </bookViews>
  <sheets>
    <sheet name="メイン" sheetId="4" r:id="rId1"/>
    <sheet name="出力" sheetId="15" r:id="rId2"/>
    <sheet name="入力" sheetId="16" r:id="rId3"/>
    <sheet name="生データ" sheetId="2" r:id="rId4"/>
    <sheet name="重複チェック" sheetId="7" r:id="rId5"/>
    <sheet name="学科コード表" sheetId="14" r:id="rId6"/>
    <sheet name="シフト表" sheetId="17" r:id="rId7"/>
    <sheet name="passcord" sheetId="18" state="veryHidden" r:id="rId8"/>
  </sheets>
  <functionGroups builtInGroupCount="19"/>
  <definedNames>
    <definedName name="sample">INDEX(出力!$B$1:$B$13,MATCH(メイン!$O$1,出力!$A$1:$A$13,1))</definedName>
    <definedName name="sample2">INDEX(出力!$B$1:$B$13,MATCH(メイン!$P$1,出力!$A$1:$A$13,1))</definedName>
  </definedNames>
  <calcPr calcId="191029" calcMode="manual"/>
  <extLst>
    <ext xmlns:x14="http://schemas.microsoft.com/office/spreadsheetml/2009/9/main" uri="{79F54976-1DA5-4618-B147-4CDE4B953A38}">
      <x14:workbookPr discardImageEditData="1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2" i="4" l="1"/>
  <c r="B12" i="4"/>
  <c r="AC2" i="4"/>
  <c r="AE4" i="4" l="1"/>
  <c r="K2" i="4"/>
  <c r="C13" i="4" l="1"/>
  <c r="C12" i="4"/>
  <c r="C21" i="4" l="1"/>
  <c r="E22" i="4" s="1"/>
  <c r="D4" i="4" s="1"/>
  <c r="D23" i="4" l="1"/>
  <c r="F22" i="4"/>
  <c r="E4" i="4" s="1"/>
  <c r="J24" i="4"/>
  <c r="I6" i="4" s="1"/>
  <c r="G24" i="4"/>
  <c r="F26" i="4"/>
  <c r="E8" i="4" s="1"/>
  <c r="H23" i="4"/>
  <c r="G5" i="4" s="1"/>
  <c r="I25" i="4"/>
  <c r="E23" i="4"/>
  <c r="D24" i="4"/>
  <c r="J26" i="4"/>
  <c r="I8" i="4" s="1"/>
  <c r="H25" i="4"/>
  <c r="F24" i="4"/>
  <c r="E6" i="4" s="1"/>
  <c r="J22" i="4"/>
  <c r="I4" i="4" s="1"/>
  <c r="G26" i="4"/>
  <c r="F8" i="4" s="1"/>
  <c r="E25" i="4"/>
  <c r="D7" i="4" s="1"/>
  <c r="I23" i="4"/>
  <c r="G22" i="4"/>
  <c r="F4" i="4" s="1"/>
  <c r="D26" i="4"/>
  <c r="D25" i="4"/>
  <c r="D22" i="4"/>
  <c r="H26" i="4"/>
  <c r="J25" i="4"/>
  <c r="I7" i="4" s="1"/>
  <c r="F25" i="4"/>
  <c r="E7" i="4" s="1"/>
  <c r="H24" i="4"/>
  <c r="J23" i="4"/>
  <c r="F23" i="4"/>
  <c r="H22" i="4"/>
  <c r="G4" i="4" s="1"/>
  <c r="I26" i="4"/>
  <c r="E26" i="4"/>
  <c r="D8" i="4" s="1"/>
  <c r="G25" i="4"/>
  <c r="F7" i="4" s="1"/>
  <c r="I24" i="4"/>
  <c r="H6" i="4" s="1"/>
  <c r="E24" i="4"/>
  <c r="D6" i="4" s="1"/>
  <c r="G23" i="4"/>
  <c r="F5" i="4" s="1"/>
  <c r="I22" i="4"/>
  <c r="I5" i="4"/>
  <c r="E5" i="4"/>
  <c r="C5" i="4"/>
  <c r="F6" i="4"/>
  <c r="D5" i="4"/>
  <c r="C4" i="4" l="1"/>
  <c r="AB6" i="4"/>
  <c r="AD6" i="4"/>
  <c r="AF6" i="4"/>
  <c r="AH6" i="4"/>
  <c r="AJ6" i="4"/>
  <c r="AC6" i="4"/>
  <c r="AE6" i="4"/>
  <c r="AG6" i="4"/>
  <c r="AI6" i="4"/>
  <c r="AA6" i="4"/>
  <c r="C8" i="4"/>
  <c r="AA10" i="4"/>
  <c r="AC10" i="4"/>
  <c r="AE10" i="4"/>
  <c r="AG10" i="4"/>
  <c r="AI10" i="4"/>
  <c r="AB10" i="4"/>
  <c r="AD10" i="4"/>
  <c r="AF10" i="4"/>
  <c r="AH10" i="4"/>
  <c r="AJ10" i="4"/>
  <c r="C7" i="4"/>
  <c r="AA9" i="4"/>
  <c r="AC9" i="4"/>
  <c r="AE9" i="4"/>
  <c r="AG9" i="4"/>
  <c r="AI9" i="4"/>
  <c r="AB9" i="4"/>
  <c r="AD9" i="4"/>
  <c r="AF9" i="4"/>
  <c r="AH9" i="4"/>
  <c r="AJ9" i="4"/>
  <c r="C6" i="4"/>
  <c r="AA8" i="4"/>
  <c r="AC8" i="4"/>
  <c r="AE8" i="4"/>
  <c r="AG8" i="4"/>
  <c r="AI8" i="4"/>
  <c r="AB8" i="4"/>
  <c r="AD8" i="4"/>
  <c r="AF8" i="4"/>
  <c r="AH8" i="4"/>
  <c r="AJ8" i="4"/>
  <c r="AA7" i="4"/>
  <c r="AC7" i="4"/>
  <c r="AE7" i="4"/>
  <c r="AG7" i="4"/>
  <c r="AI7" i="4"/>
  <c r="AB7" i="4"/>
  <c r="AD7" i="4"/>
  <c r="AF7" i="4"/>
  <c r="AH7" i="4"/>
  <c r="AJ7" i="4"/>
  <c r="H8" i="4"/>
  <c r="H5" i="4"/>
  <c r="H4" i="4"/>
  <c r="H7" i="4"/>
  <c r="G8" i="4"/>
  <c r="G6" i="4"/>
  <c r="G7" i="4"/>
</calcChain>
</file>

<file path=xl/sharedStrings.xml><?xml version="1.0" encoding="utf-8"?>
<sst xmlns="http://schemas.openxmlformats.org/spreadsheetml/2006/main" count="128" uniqueCount="101">
  <si>
    <t>予約日</t>
    <rPh sb="0" eb="2">
      <t>ヨヤク</t>
    </rPh>
    <rPh sb="2" eb="3">
      <t>ビ</t>
    </rPh>
    <phoneticPr fontId="1"/>
  </si>
  <si>
    <t>予約時間帯</t>
    <rPh sb="0" eb="2">
      <t>ヨヤク</t>
    </rPh>
    <rPh sb="2" eb="5">
      <t>ジカンタイ</t>
    </rPh>
    <phoneticPr fontId="1"/>
  </si>
  <si>
    <t>学籍番号1</t>
    <rPh sb="0" eb="2">
      <t>ガクセキ</t>
    </rPh>
    <rPh sb="2" eb="4">
      <t>バンゴウ</t>
    </rPh>
    <phoneticPr fontId="1"/>
  </si>
  <si>
    <t>学籍番号2</t>
    <rPh sb="0" eb="2">
      <t>ガクセキ</t>
    </rPh>
    <rPh sb="2" eb="4">
      <t>バンゴウ</t>
    </rPh>
    <phoneticPr fontId="1"/>
  </si>
  <si>
    <t>学籍番号4</t>
    <rPh sb="0" eb="2">
      <t>ガクセキ</t>
    </rPh>
    <rPh sb="2" eb="4">
      <t>バンゴウ</t>
    </rPh>
    <phoneticPr fontId="1"/>
  </si>
  <si>
    <t>学籍番号5</t>
    <rPh sb="0" eb="2">
      <t>ガクセキ</t>
    </rPh>
    <rPh sb="2" eb="4">
      <t>バンゴウ</t>
    </rPh>
    <phoneticPr fontId="1"/>
  </si>
  <si>
    <t>学籍番号6</t>
    <rPh sb="0" eb="2">
      <t>ガクセキ</t>
    </rPh>
    <rPh sb="2" eb="4">
      <t>バンゴウ</t>
    </rPh>
    <phoneticPr fontId="1"/>
  </si>
  <si>
    <t>学籍番号7</t>
    <rPh sb="0" eb="2">
      <t>ガクセキ</t>
    </rPh>
    <rPh sb="2" eb="4">
      <t>バンゴウ</t>
    </rPh>
    <phoneticPr fontId="1"/>
  </si>
  <si>
    <t>学籍番号8</t>
    <rPh sb="0" eb="2">
      <t>ガクセキ</t>
    </rPh>
    <rPh sb="2" eb="4">
      <t>バンゴウ</t>
    </rPh>
    <phoneticPr fontId="1"/>
  </si>
  <si>
    <t>学籍番号9</t>
    <rPh sb="0" eb="2">
      <t>ガクセキ</t>
    </rPh>
    <rPh sb="2" eb="4">
      <t>バンゴウ</t>
    </rPh>
    <phoneticPr fontId="1"/>
  </si>
  <si>
    <t>学籍番号10</t>
    <rPh sb="0" eb="2">
      <t>ガクセキ</t>
    </rPh>
    <rPh sb="2" eb="4">
      <t>バンゴウ</t>
    </rPh>
    <phoneticPr fontId="1"/>
  </si>
  <si>
    <t>席番号</t>
    <rPh sb="0" eb="1">
      <t>セキ</t>
    </rPh>
    <rPh sb="1" eb="3">
      <t>バンゴウ</t>
    </rPh>
    <phoneticPr fontId="1"/>
  </si>
  <si>
    <t>利用時間</t>
    <rPh sb="0" eb="2">
      <t>リヨウ</t>
    </rPh>
    <rPh sb="2" eb="4">
      <t>ジカン</t>
    </rPh>
    <phoneticPr fontId="1"/>
  </si>
  <si>
    <t>1時限目</t>
    <rPh sb="1" eb="4">
      <t>ジゲンメ</t>
    </rPh>
    <phoneticPr fontId="1"/>
  </si>
  <si>
    <t>2時限目</t>
    <rPh sb="1" eb="4">
      <t>ジゲンメ</t>
    </rPh>
    <phoneticPr fontId="1"/>
  </si>
  <si>
    <t>3時限目</t>
    <rPh sb="1" eb="4">
      <t>ジゲンメ</t>
    </rPh>
    <phoneticPr fontId="1"/>
  </si>
  <si>
    <t>昼休み</t>
    <rPh sb="0" eb="2">
      <t>ヒルヤス</t>
    </rPh>
    <phoneticPr fontId="1"/>
  </si>
  <si>
    <t>4時限目</t>
    <rPh sb="1" eb="4">
      <t>ジゲンメ</t>
    </rPh>
    <phoneticPr fontId="1"/>
  </si>
  <si>
    <t>5時限目</t>
    <rPh sb="1" eb="4">
      <t>ジゲンメ</t>
    </rPh>
    <phoneticPr fontId="1"/>
  </si>
  <si>
    <t>閉室まで</t>
    <rPh sb="0" eb="2">
      <t>ヘイシツ</t>
    </rPh>
    <phoneticPr fontId="1"/>
  </si>
  <si>
    <t>学籍番号3</t>
    <rPh sb="0" eb="4">
      <t>ガクセキバンゴウ</t>
    </rPh>
    <phoneticPr fontId="1"/>
  </si>
  <si>
    <t>予約コード</t>
    <rPh sb="0" eb="2">
      <t>ヨヤク</t>
    </rPh>
    <phoneticPr fontId="1"/>
  </si>
  <si>
    <t>日付</t>
    <rPh sb="0" eb="2">
      <t>ヒヅケ</t>
    </rPh>
    <phoneticPr fontId="1"/>
  </si>
  <si>
    <t>学部</t>
    <rPh sb="0" eb="2">
      <t>ガクブ</t>
    </rPh>
    <phoneticPr fontId="1"/>
  </si>
  <si>
    <t>院M</t>
    <rPh sb="0" eb="1">
      <t>イン</t>
    </rPh>
    <phoneticPr fontId="1"/>
  </si>
  <si>
    <t>院D</t>
    <rPh sb="0" eb="1">
      <t>イン</t>
    </rPh>
    <phoneticPr fontId="1"/>
  </si>
  <si>
    <t>学籍番号</t>
    <rPh sb="0" eb="2">
      <t>ガクセキ</t>
    </rPh>
    <rPh sb="2" eb="4">
      <t>バンゴウ</t>
    </rPh>
    <phoneticPr fontId="1"/>
  </si>
  <si>
    <t>台帳番号</t>
    <rPh sb="0" eb="4">
      <t>ダイチョウバンゴウ</t>
    </rPh>
    <phoneticPr fontId="1"/>
  </si>
  <si>
    <t>台帳番号</t>
    <rPh sb="0" eb="2">
      <t>ダイチョウ</t>
    </rPh>
    <rPh sb="2" eb="4">
      <t>バンゴウ</t>
    </rPh>
    <phoneticPr fontId="1"/>
  </si>
  <si>
    <t>哲</t>
    <rPh sb="0" eb="1">
      <t>テツ</t>
    </rPh>
    <phoneticPr fontId="1"/>
  </si>
  <si>
    <t>史</t>
    <rPh sb="0" eb="1">
      <t>シ</t>
    </rPh>
    <phoneticPr fontId="1"/>
  </si>
  <si>
    <t>日本史</t>
    <rPh sb="0" eb="3">
      <t>ニホンシ</t>
    </rPh>
    <phoneticPr fontId="1"/>
  </si>
  <si>
    <t>国文</t>
    <rPh sb="0" eb="2">
      <t>コクブン</t>
    </rPh>
    <phoneticPr fontId="1"/>
  </si>
  <si>
    <t>外国氏</t>
    <rPh sb="0" eb="2">
      <t>ガイコク</t>
    </rPh>
    <rPh sb="2" eb="3">
      <t>シ</t>
    </rPh>
    <phoneticPr fontId="1"/>
  </si>
  <si>
    <t>中文</t>
    <rPh sb="0" eb="2">
      <t>チュウブン</t>
    </rPh>
    <phoneticPr fontId="1"/>
  </si>
  <si>
    <t>英文</t>
    <rPh sb="0" eb="2">
      <t>エイブン</t>
    </rPh>
    <phoneticPr fontId="1"/>
  </si>
  <si>
    <t>ドイツ文</t>
    <rPh sb="3" eb="4">
      <t>ブン</t>
    </rPh>
    <phoneticPr fontId="1"/>
  </si>
  <si>
    <t>社会</t>
    <rPh sb="0" eb="2">
      <t>シャカイ</t>
    </rPh>
    <phoneticPr fontId="1"/>
  </si>
  <si>
    <t>教育</t>
    <rPh sb="0" eb="2">
      <t>キョウイク</t>
    </rPh>
    <phoneticPr fontId="1"/>
  </si>
  <si>
    <t>体育</t>
    <rPh sb="0" eb="2">
      <t>タイイク</t>
    </rPh>
    <phoneticPr fontId="1"/>
  </si>
  <si>
    <t>心理</t>
    <rPh sb="0" eb="2">
      <t>シンリ</t>
    </rPh>
    <phoneticPr fontId="1"/>
  </si>
  <si>
    <t>社会福祉</t>
    <rPh sb="0" eb="2">
      <t>シャカイ</t>
    </rPh>
    <rPh sb="2" eb="4">
      <t>フクシ</t>
    </rPh>
    <phoneticPr fontId="1"/>
  </si>
  <si>
    <t>地理学</t>
    <rPh sb="0" eb="3">
      <t>チリガク</t>
    </rPh>
    <phoneticPr fontId="1"/>
  </si>
  <si>
    <t>地理</t>
    <rPh sb="0" eb="2">
      <t>チリ</t>
    </rPh>
    <phoneticPr fontId="1"/>
  </si>
  <si>
    <t>地球情報数理科</t>
    <rPh sb="0" eb="2">
      <t>チキュウ</t>
    </rPh>
    <rPh sb="2" eb="4">
      <t>ジョウホウ</t>
    </rPh>
    <rPh sb="4" eb="6">
      <t>スウリ</t>
    </rPh>
    <rPh sb="6" eb="7">
      <t>カ</t>
    </rPh>
    <phoneticPr fontId="1"/>
  </si>
  <si>
    <t>地球科</t>
    <rPh sb="0" eb="2">
      <t>チキュウ</t>
    </rPh>
    <rPh sb="2" eb="3">
      <t>カ</t>
    </rPh>
    <phoneticPr fontId="1"/>
  </si>
  <si>
    <t>相関理化学</t>
    <rPh sb="0" eb="5">
      <t>ソウカンリカガク</t>
    </rPh>
    <phoneticPr fontId="1"/>
  </si>
  <si>
    <t>数</t>
    <rPh sb="0" eb="1">
      <t>カズ</t>
    </rPh>
    <phoneticPr fontId="1"/>
  </si>
  <si>
    <t>情報化</t>
    <rPh sb="0" eb="3">
      <t>ジョウホウカ</t>
    </rPh>
    <phoneticPr fontId="1"/>
  </si>
  <si>
    <t>ワイルドカード</t>
    <phoneticPr fontId="1"/>
  </si>
  <si>
    <t>物理</t>
    <rPh sb="0" eb="2">
      <t>ブツリ</t>
    </rPh>
    <phoneticPr fontId="1"/>
  </si>
  <si>
    <t>生命科</t>
    <rPh sb="0" eb="2">
      <t>セイメイ</t>
    </rPh>
    <rPh sb="2" eb="3">
      <t>カ</t>
    </rPh>
    <phoneticPr fontId="1"/>
  </si>
  <si>
    <t>化</t>
    <rPh sb="0" eb="1">
      <t>カ</t>
    </rPh>
    <phoneticPr fontId="1"/>
  </si>
  <si>
    <t>台帳番号＝入学年度＋040+上の表の台帳番号+0+学籍番号の末３桁(M,D→0)+0</t>
    <rPh sb="0" eb="2">
      <t>ダイチョウ</t>
    </rPh>
    <rPh sb="2" eb="4">
      <t>バンゴウ</t>
    </rPh>
    <rPh sb="5" eb="7">
      <t>ニュウガク</t>
    </rPh>
    <rPh sb="7" eb="9">
      <t>ネンド</t>
    </rPh>
    <rPh sb="14" eb="15">
      <t>ウエ</t>
    </rPh>
    <rPh sb="16" eb="17">
      <t>ヒョウ</t>
    </rPh>
    <rPh sb="18" eb="20">
      <t>ダイチョウ</t>
    </rPh>
    <rPh sb="20" eb="22">
      <t>バンゴウ</t>
    </rPh>
    <rPh sb="25" eb="27">
      <t>ガクセキ</t>
    </rPh>
    <rPh sb="27" eb="29">
      <t>バンゴウ</t>
    </rPh>
    <rPh sb="30" eb="31">
      <t>マツ</t>
    </rPh>
    <rPh sb="32" eb="33">
      <t>ケタ</t>
    </rPh>
    <phoneticPr fontId="1"/>
  </si>
  <si>
    <t>黄色のところは確証はないが、とりあえずそう変換されます</t>
    <rPh sb="0" eb="2">
      <t>キイロ</t>
    </rPh>
    <rPh sb="7" eb="9">
      <t>カクショウ</t>
    </rPh>
    <rPh sb="21" eb="23">
      <t>ヘンカン</t>
    </rPh>
    <phoneticPr fontId="1"/>
  </si>
  <si>
    <t>番号</t>
    <rPh sb="0" eb="2">
      <t>バンゴウ</t>
    </rPh>
    <phoneticPr fontId="1"/>
  </si>
  <si>
    <t>専攻</t>
    <rPh sb="0" eb="2">
      <t>センコウ</t>
    </rPh>
    <phoneticPr fontId="1"/>
  </si>
  <si>
    <t>学年</t>
    <rPh sb="0" eb="2">
      <t>ガクネン</t>
    </rPh>
    <phoneticPr fontId="1"/>
  </si>
  <si>
    <t>名前</t>
    <rPh sb="0" eb="2">
      <t>ナマエ</t>
    </rPh>
    <phoneticPr fontId="1"/>
  </si>
  <si>
    <t>プロフィール画像</t>
    <rPh sb="6" eb="8">
      <t>ガゾウ</t>
    </rPh>
    <phoneticPr fontId="1"/>
  </si>
  <si>
    <t>一言</t>
    <rPh sb="0" eb="2">
      <t>ヒトコト</t>
    </rPh>
    <phoneticPr fontId="1"/>
  </si>
  <si>
    <t>勤務時間帯開始</t>
    <rPh sb="0" eb="2">
      <t>キンム</t>
    </rPh>
    <rPh sb="2" eb="4">
      <t>ジカン</t>
    </rPh>
    <rPh sb="4" eb="5">
      <t>タイ</t>
    </rPh>
    <rPh sb="5" eb="7">
      <t>カイシ</t>
    </rPh>
    <phoneticPr fontId="1"/>
  </si>
  <si>
    <t>勤務時間帯終了</t>
    <rPh sb="0" eb="2">
      <t>キンム</t>
    </rPh>
    <rPh sb="2" eb="4">
      <t>ジカン</t>
    </rPh>
    <rPh sb="4" eb="5">
      <t>タイ</t>
    </rPh>
    <rPh sb="5" eb="7">
      <t>シュウリョウ</t>
    </rPh>
    <phoneticPr fontId="1"/>
  </si>
  <si>
    <t>勤務No</t>
    <rPh sb="0" eb="2">
      <t>キンム</t>
    </rPh>
    <phoneticPr fontId="1"/>
  </si>
  <si>
    <t>off</t>
    <phoneticPr fontId="1"/>
  </si>
  <si>
    <t>時刻</t>
    <rPh sb="0" eb="2">
      <t>ジコク</t>
    </rPh>
    <phoneticPr fontId="1"/>
  </si>
  <si>
    <t>空白のコマをタッチか、クリックをすることで予約フォームが表示されます</t>
    <rPh sb="0" eb="2">
      <t>クウハク</t>
    </rPh>
    <rPh sb="21" eb="23">
      <t>ヨヤク</t>
    </rPh>
    <rPh sb="28" eb="30">
      <t>ヒョウジ</t>
    </rPh>
    <phoneticPr fontId="1"/>
  </si>
  <si>
    <t>予約の仕方</t>
    <rPh sb="0" eb="2">
      <t>ヨヤク</t>
    </rPh>
    <rPh sb="3" eb="5">
      <t>シカタ</t>
    </rPh>
    <phoneticPr fontId="1"/>
  </si>
  <si>
    <t>一日の上限数</t>
    <rPh sb="0" eb="2">
      <t>イチニチ</t>
    </rPh>
    <rPh sb="3" eb="5">
      <t>ジョウゲン</t>
    </rPh>
    <rPh sb="5" eb="6">
      <t>スウ</t>
    </rPh>
    <phoneticPr fontId="1"/>
  </si>
  <si>
    <t>席番号</t>
    <rPh sb="0" eb="1">
      <t>セキ</t>
    </rPh>
    <rPh sb="1" eb="3">
      <t>バンゴウ</t>
    </rPh>
    <phoneticPr fontId="1"/>
  </si>
  <si>
    <t>ケーブル</t>
    <phoneticPr fontId="1"/>
  </si>
  <si>
    <t>勤務中のシフト番号</t>
    <rPh sb="0" eb="3">
      <t>キンムチュウ</t>
    </rPh>
    <rPh sb="7" eb="9">
      <t>バンゴウ</t>
    </rPh>
    <phoneticPr fontId="1"/>
  </si>
  <si>
    <t>現在の時間帯コード→</t>
    <rPh sb="0" eb="2">
      <t>ゲンザイ</t>
    </rPh>
    <rPh sb="3" eb="6">
      <t>ジカンタイ</t>
    </rPh>
    <phoneticPr fontId="1"/>
  </si>
  <si>
    <t>現在の時間帯の予約</t>
    <rPh sb="0" eb="2">
      <t>ゲンザイ</t>
    </rPh>
    <rPh sb="3" eb="6">
      <t>ジカンタイ</t>
    </rPh>
    <rPh sb="7" eb="9">
      <t>ヨヤク</t>
    </rPh>
    <phoneticPr fontId="1"/>
  </si>
  <si>
    <t>（現在表示している時間帯コード→</t>
    <rPh sb="1" eb="3">
      <t>ゲンザイ</t>
    </rPh>
    <rPh sb="3" eb="5">
      <t>ヒョウジ</t>
    </rPh>
    <rPh sb="9" eb="12">
      <t>ジカンタイ</t>
    </rPh>
    <phoneticPr fontId="1"/>
  </si>
  <si>
    <t>学籍番号１</t>
    <rPh sb="0" eb="2">
      <t>ガクセキ</t>
    </rPh>
    <rPh sb="2" eb="4">
      <t>バンゴウ</t>
    </rPh>
    <phoneticPr fontId="1"/>
  </si>
  <si>
    <t>学籍番号２</t>
    <rPh sb="0" eb="2">
      <t>ガクセキ</t>
    </rPh>
    <rPh sb="2" eb="4">
      <t>バンゴウ</t>
    </rPh>
    <phoneticPr fontId="1"/>
  </si>
  <si>
    <t>学籍番号３</t>
    <rPh sb="0" eb="4">
      <t>ガクセキバンゴウ</t>
    </rPh>
    <phoneticPr fontId="1"/>
  </si>
  <si>
    <t>学籍番号４</t>
    <rPh sb="0" eb="4">
      <t>ガクセキバンゴウ</t>
    </rPh>
    <phoneticPr fontId="1"/>
  </si>
  <si>
    <t>学籍番号５</t>
    <rPh sb="0" eb="4">
      <t>ガクセキバンゴウ</t>
    </rPh>
    <phoneticPr fontId="1"/>
  </si>
  <si>
    <t>学籍番号６</t>
    <rPh sb="0" eb="4">
      <t>ガクセキバンゴウ</t>
    </rPh>
    <phoneticPr fontId="1"/>
  </si>
  <si>
    <t>学籍番号７</t>
    <rPh sb="0" eb="4">
      <t>ガクセキバンゴウ</t>
    </rPh>
    <phoneticPr fontId="1"/>
  </si>
  <si>
    <t>学籍番号８</t>
    <rPh sb="0" eb="4">
      <t>ガクセキバンゴウ</t>
    </rPh>
    <phoneticPr fontId="1"/>
  </si>
  <si>
    <t>学籍番号９</t>
    <rPh sb="0" eb="4">
      <t>ガクセキバンゴウ</t>
    </rPh>
    <phoneticPr fontId="1"/>
  </si>
  <si>
    <t>学籍番号１０</t>
    <rPh sb="0" eb="4">
      <t>ガクセキバンゴウ</t>
    </rPh>
    <phoneticPr fontId="1"/>
  </si>
  <si>
    <t>LAコントロールパネル</t>
  </si>
  <si>
    <t>表示／非表示オプション</t>
    <rPh sb="0" eb="2">
      <t>ヒョウジ</t>
    </rPh>
    <rPh sb="3" eb="6">
      <t>ヒヒョウジ</t>
    </rPh>
    <phoneticPr fontId="1"/>
  </si>
  <si>
    <t>マクロ実行ボタン</t>
    <rPh sb="3" eb="5">
      <t>ジッコウ</t>
    </rPh>
    <phoneticPr fontId="1"/>
  </si>
  <si>
    <t>入力モード切替</t>
    <rPh sb="0" eb="2">
      <t>ニュウリョク</t>
    </rPh>
    <rPh sb="5" eb="7">
      <t>キリカエ</t>
    </rPh>
    <phoneticPr fontId="1"/>
  </si>
  <si>
    <t>予約制限</t>
    <rPh sb="0" eb="2">
      <t>ヨヤク</t>
    </rPh>
    <rPh sb="2" eb="4">
      <t>セイゲン</t>
    </rPh>
    <phoneticPr fontId="1"/>
  </si>
  <si>
    <t>seven</t>
    <phoneticPr fontId="1"/>
  </si>
  <si>
    <t>nine</t>
    <phoneticPr fontId="1"/>
  </si>
  <si>
    <t>ten</t>
    <phoneticPr fontId="1"/>
  </si>
  <si>
    <t>eleven</t>
    <phoneticPr fontId="1"/>
  </si>
  <si>
    <t>thirty</t>
    <phoneticPr fontId="1"/>
  </si>
  <si>
    <t>six</t>
    <phoneticPr fontId="1"/>
  </si>
  <si>
    <t>five</t>
    <phoneticPr fontId="1"/>
  </si>
  <si>
    <t>four</t>
    <phoneticPr fontId="1"/>
  </si>
  <si>
    <t>three</t>
    <phoneticPr fontId="1"/>
  </si>
  <si>
    <t>two</t>
    <phoneticPr fontId="1"/>
  </si>
  <si>
    <t>one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</si>
</sst>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h:mm;@"/>
    <numFmt numFmtId="178" formatCode="m&quot;月&quot;d&quot;日&quot;;@"/>
    <numFmt numFmtId="179" formatCode="yyyy/m/d\ h:mm;@"/>
  </numFmts>
  <fonts count="1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BIZ UDPゴシック"/>
      <family val="3"/>
      <charset val="128"/>
    </font>
    <font>
      <sz val="28"/>
      <color theme="1"/>
      <name val="源ノ角ゴシック JP"/>
      <family val="2"/>
      <charset val="128"/>
    </font>
    <font>
      <sz val="22"/>
      <color theme="1"/>
      <name val="源ノ角ゴシック JP"/>
      <family val="2"/>
      <charset val="128"/>
    </font>
    <font>
      <sz val="11"/>
      <color rgb="FF000000"/>
      <name val="游ゴシック"/>
      <family val="3"/>
      <charset val="128"/>
    </font>
    <font>
      <sz val="20"/>
      <color theme="1"/>
      <name val="源ノ角ゴシック JP"/>
      <family val="2"/>
      <charset val="128"/>
    </font>
    <font>
      <sz val="30"/>
      <color theme="1"/>
      <name val="源ノ角ゴシック JP"/>
      <family val="2"/>
      <charset val="128"/>
    </font>
    <font>
      <sz val="50"/>
      <color theme="1"/>
      <name val="源ノ角ゴシック JP"/>
      <family val="2"/>
      <charset val="128"/>
    </font>
    <font>
      <sz val="24"/>
      <color theme="1"/>
      <name val="源ノ角ゴシック JP"/>
      <family val="2"/>
      <charset val="128"/>
    </font>
    <font>
      <sz val="16"/>
      <color theme="1"/>
      <name val="源ノ角ゴシック JP"/>
      <family val="2"/>
      <charset val="128"/>
    </font>
    <font>
      <u/>
      <sz val="11"/>
      <color theme="10"/>
      <name val="游ゴシック"/>
      <family val="2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16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22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Protection="1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Fill="1" applyBorder="1">
      <alignment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6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9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3" fillId="0" borderId="0" xfId="0" applyFont="1" applyFill="1" applyBorder="1" applyAlignment="1">
      <alignment vertical="center" textRotation="255"/>
    </xf>
    <xf numFmtId="0" fontId="9" fillId="0" borderId="0" xfId="0" applyFont="1" applyFill="1" applyBorder="1" applyAlignment="1">
      <alignment horizont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14" fontId="10" fillId="0" borderId="0" xfId="0" applyNumberFormat="1" applyFont="1" applyAlignment="1">
      <alignment horizontal="center"/>
    </xf>
    <xf numFmtId="19" fontId="10" fillId="0" borderId="0" xfId="0" applyNumberFormat="1" applyFont="1" applyAlignment="1">
      <alignment horizontal="center"/>
    </xf>
    <xf numFmtId="0" fontId="9" fillId="0" borderId="0" xfId="0" applyFont="1" applyAlignment="1">
      <alignment vertical="center"/>
    </xf>
    <xf numFmtId="0" fontId="4" fillId="0" borderId="0" xfId="0" applyFont="1" applyFill="1" applyBorder="1" applyAlignment="1">
      <alignment horizontal="center" vertical="center" wrapText="1"/>
    </xf>
    <xf numFmtId="0" fontId="0" fillId="0" borderId="1" xfId="0" applyBorder="1">
      <alignment vertical="center"/>
    </xf>
    <xf numFmtId="0" fontId="0" fillId="0" borderId="0" xfId="0" applyAlignment="1"/>
    <xf numFmtId="0" fontId="11" fillId="0" borderId="0" xfId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12" fillId="0" borderId="0" xfId="0" applyFont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176" fontId="13" fillId="0" borderId="0" xfId="0" applyNumberFormat="1" applyFont="1">
      <alignment vertical="center"/>
    </xf>
    <xf numFmtId="178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A7A7A7"/>
      <color rgb="FFFFFFFF"/>
      <color rgb="FF6D94E1"/>
      <color rgb="FFFF4B00"/>
      <color rgb="FFA2B3C1"/>
      <color rgb="FFD4EAFC"/>
      <color rgb="FFC0D3E4"/>
      <color rgb="FFC0D9F2"/>
      <color rgb="FFA3C4EF"/>
      <color rgb="FF9AB5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haradayuii\Documents\GitHub\PCresrveSystem\bin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581025</xdr:colOff>
          <xdr:row>6</xdr:row>
          <xdr:rowOff>433388</xdr:rowOff>
        </xdr:from>
        <xdr:to>
          <xdr:col>18</xdr:col>
          <xdr:colOff>333375</xdr:colOff>
          <xdr:row>7</xdr:row>
          <xdr:rowOff>342900</xdr:rowOff>
        </xdr:to>
        <xdr:sp macro="" textlink="">
          <xdr:nvSpPr>
            <xdr:cNvPr id="2732" name="Button 684" hidden="1">
              <a:extLst>
                <a:ext uri="{63B3BB69-23CF-44E3-9099-C40C66FF867C}">
                  <a14:compatExt spid="_x0000_s2732"/>
                </a:ext>
                <a:ext uri="{FF2B5EF4-FFF2-40B4-BE49-F238E27FC236}">
                  <a16:creationId xmlns:a16="http://schemas.microsoft.com/office/drawing/2014/main" id="{00000000-0008-0000-0000-0000A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ワークシート再計算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161925</xdr:colOff>
          <xdr:row>3</xdr:row>
          <xdr:rowOff>128588</xdr:rowOff>
        </xdr:from>
        <xdr:to>
          <xdr:col>23</xdr:col>
          <xdr:colOff>519113</xdr:colOff>
          <xdr:row>3</xdr:row>
          <xdr:rowOff>723900</xdr:rowOff>
        </xdr:to>
        <xdr:sp macro="" textlink="">
          <xdr:nvSpPr>
            <xdr:cNvPr id="2733" name="Button 685" hidden="1">
              <a:extLst>
                <a:ext uri="{63B3BB69-23CF-44E3-9099-C40C66FF867C}">
                  <a14:compatExt spid="_x0000_s2733"/>
                </a:ext>
                <a:ext uri="{FF2B5EF4-FFF2-40B4-BE49-F238E27FC236}">
                  <a16:creationId xmlns:a16="http://schemas.microsoft.com/office/drawing/2014/main" id="{00000000-0008-0000-0000-0000A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マスター入力モード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604838</xdr:colOff>
          <xdr:row>3</xdr:row>
          <xdr:rowOff>57150</xdr:rowOff>
        </xdr:from>
        <xdr:to>
          <xdr:col>18</xdr:col>
          <xdr:colOff>290513</xdr:colOff>
          <xdr:row>4</xdr:row>
          <xdr:rowOff>28575</xdr:rowOff>
        </xdr:to>
        <xdr:sp macro="" textlink="">
          <xdr:nvSpPr>
            <xdr:cNvPr id="2737" name="Button 689" hidden="1">
              <a:extLst>
                <a:ext uri="{63B3BB69-23CF-44E3-9099-C40C66FF867C}">
                  <a14:compatExt spid="_x0000_s2737"/>
                </a:ext>
                <a:ext uri="{FF2B5EF4-FFF2-40B4-BE49-F238E27FC236}">
                  <a16:creationId xmlns:a16="http://schemas.microsoft.com/office/drawing/2014/main" id="{00000000-0008-0000-0000-0000B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生データソート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166688</xdr:colOff>
          <xdr:row>4</xdr:row>
          <xdr:rowOff>142875</xdr:rowOff>
        </xdr:from>
        <xdr:to>
          <xdr:col>23</xdr:col>
          <xdr:colOff>542925</xdr:colOff>
          <xdr:row>4</xdr:row>
          <xdr:rowOff>771525</xdr:rowOff>
        </xdr:to>
        <xdr:sp macro="" textlink="">
          <xdr:nvSpPr>
            <xdr:cNvPr id="2747" name="Button 699" hidden="1">
              <a:extLst>
                <a:ext uri="{63B3BB69-23CF-44E3-9099-C40C66FF867C}">
                  <a14:compatExt spid="_x0000_s2747"/>
                </a:ext>
                <a:ext uri="{FF2B5EF4-FFF2-40B4-BE49-F238E27FC236}">
                  <a16:creationId xmlns:a16="http://schemas.microsoft.com/office/drawing/2014/main" id="{00000000-0008-0000-0000-0000B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選択カーソルを強制移動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614363</xdr:colOff>
          <xdr:row>7</xdr:row>
          <xdr:rowOff>571500</xdr:rowOff>
        </xdr:from>
        <xdr:to>
          <xdr:col>18</xdr:col>
          <xdr:colOff>314325</xdr:colOff>
          <xdr:row>9</xdr:row>
          <xdr:rowOff>309563</xdr:rowOff>
        </xdr:to>
        <xdr:sp macro="" textlink="">
          <xdr:nvSpPr>
            <xdr:cNvPr id="2750" name="Button 702" hidden="1">
              <a:extLst>
                <a:ext uri="{63B3BB69-23CF-44E3-9099-C40C66FF867C}">
                  <a14:compatExt spid="_x0000_s2750"/>
                </a:ext>
                <a:ext uri="{FF2B5EF4-FFF2-40B4-BE49-F238E27FC236}">
                  <a16:creationId xmlns:a16="http://schemas.microsoft.com/office/drawing/2014/main" id="{00000000-0008-0000-0000-0000B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重複チェックシートリフレッシュ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486833</xdr:colOff>
      <xdr:row>0</xdr:row>
      <xdr:rowOff>52917</xdr:rowOff>
    </xdr:from>
    <xdr:to>
      <xdr:col>12</xdr:col>
      <xdr:colOff>1510</xdr:colOff>
      <xdr:row>2</xdr:row>
      <xdr:rowOff>185208</xdr:rowOff>
    </xdr:to>
    <xdr:sp macro="" textlink="">
      <xdr:nvSpPr>
        <xdr:cNvPr id="26" name="四角形: 角を丸くする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1197166" y="52917"/>
          <a:ext cx="3568094" cy="1121833"/>
        </a:xfrm>
        <a:prstGeom prst="roundRect">
          <a:avLst>
            <a:gd name="adj" fmla="val 6911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27969</xdr:colOff>
      <xdr:row>1</xdr:row>
      <xdr:rowOff>22</xdr:rowOff>
    </xdr:from>
    <xdr:to>
      <xdr:col>11</xdr:col>
      <xdr:colOff>1698624</xdr:colOff>
      <xdr:row>1</xdr:row>
      <xdr:rowOff>22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>
          <a:off x="11177511" y="391605"/>
          <a:ext cx="3231696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867834</xdr:colOff>
      <xdr:row>1</xdr:row>
      <xdr:rowOff>538117</xdr:rowOff>
    </xdr:from>
    <xdr:to>
      <xdr:col>9</xdr:col>
      <xdr:colOff>0</xdr:colOff>
      <xdr:row>8</xdr:row>
      <xdr:rowOff>0</xdr:rowOff>
    </xdr:to>
    <xdr:grpSp>
      <xdr:nvGrpSpPr>
        <xdr:cNvPr id="11" name="グループ化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322917" y="929700"/>
          <a:ext cx="9424459" cy="4822342"/>
          <a:chOff x="1322917" y="929723"/>
          <a:chExt cx="9387416" cy="4790592"/>
        </a:xfrm>
      </xdr:grpSpPr>
      <xdr:cxnSp macro="">
        <xdr:nvCxnSpPr>
          <xdr:cNvPr id="83" name="直線コネクタ 82">
            <a:extLst>
              <a:ext uri="{FF2B5EF4-FFF2-40B4-BE49-F238E27FC236}">
                <a16:creationId xmlns:a16="http://schemas.microsoft.com/office/drawing/2014/main" id="{00000000-0008-0000-0000-000053000000}"/>
              </a:ext>
            </a:extLst>
          </xdr:cNvPr>
          <xdr:cNvCxnSpPr/>
        </xdr:nvCxnSpPr>
        <xdr:spPr>
          <a:xfrm>
            <a:off x="1338792" y="5720292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8" name="直線コネクタ 67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CxnSpPr/>
        </xdr:nvCxnSpPr>
        <xdr:spPr>
          <a:xfrm>
            <a:off x="1322917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直線コネクタ 68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CxnSpPr/>
        </xdr:nvCxnSpPr>
        <xdr:spPr>
          <a:xfrm>
            <a:off x="8032750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" name="直線コネクタ 69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CxnSpPr/>
        </xdr:nvCxnSpPr>
        <xdr:spPr>
          <a:xfrm>
            <a:off x="6693959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" name="直線コネクタ 70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CxnSpPr/>
        </xdr:nvCxnSpPr>
        <xdr:spPr>
          <a:xfrm>
            <a:off x="5355167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直線コネクタ 71">
            <a:extLst>
              <a:ext uri="{FF2B5EF4-FFF2-40B4-BE49-F238E27FC236}">
                <a16:creationId xmlns:a16="http://schemas.microsoft.com/office/drawing/2014/main" id="{00000000-0008-0000-0000-000048000000}"/>
              </a:ext>
            </a:extLst>
          </xdr:cNvPr>
          <xdr:cNvCxnSpPr/>
        </xdr:nvCxnSpPr>
        <xdr:spPr>
          <a:xfrm>
            <a:off x="4021669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" name="直線コネクタ 72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CxnSpPr/>
        </xdr:nvCxnSpPr>
        <xdr:spPr>
          <a:xfrm>
            <a:off x="2677583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" name="直線コネクタ 73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CxnSpPr/>
        </xdr:nvCxnSpPr>
        <xdr:spPr>
          <a:xfrm>
            <a:off x="10710333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直線コネクタ 74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CxnSpPr/>
        </xdr:nvCxnSpPr>
        <xdr:spPr>
          <a:xfrm>
            <a:off x="9371542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直線コネクタ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CxnSpPr/>
        </xdr:nvCxnSpPr>
        <xdr:spPr>
          <a:xfrm>
            <a:off x="1338792" y="929723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" name="直線コネクタ 77">
            <a:extLst>
              <a:ext uri="{FF2B5EF4-FFF2-40B4-BE49-F238E27FC236}">
                <a16:creationId xmlns:a16="http://schemas.microsoft.com/office/drawing/2014/main" id="{00000000-0008-0000-0000-00004E000000}"/>
              </a:ext>
            </a:extLst>
          </xdr:cNvPr>
          <xdr:cNvCxnSpPr/>
        </xdr:nvCxnSpPr>
        <xdr:spPr>
          <a:xfrm>
            <a:off x="1338792" y="1301750"/>
            <a:ext cx="9371541" cy="532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" name="直線コネクタ 78">
            <a:extLst>
              <a:ext uri="{FF2B5EF4-FFF2-40B4-BE49-F238E27FC236}">
                <a16:creationId xmlns:a16="http://schemas.microsoft.com/office/drawing/2014/main" id="{00000000-0008-0000-0000-00004F000000}"/>
              </a:ext>
            </a:extLst>
          </xdr:cNvPr>
          <xdr:cNvCxnSpPr/>
        </xdr:nvCxnSpPr>
        <xdr:spPr>
          <a:xfrm>
            <a:off x="1338792" y="2193520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" name="直線コネクタ 79">
            <a:extLst>
              <a:ext uri="{FF2B5EF4-FFF2-40B4-BE49-F238E27FC236}">
                <a16:creationId xmlns:a16="http://schemas.microsoft.com/office/drawing/2014/main" id="{00000000-0008-0000-0000-000050000000}"/>
              </a:ext>
            </a:extLst>
          </xdr:cNvPr>
          <xdr:cNvCxnSpPr/>
        </xdr:nvCxnSpPr>
        <xdr:spPr>
          <a:xfrm>
            <a:off x="1338792" y="3069167"/>
            <a:ext cx="9371541" cy="319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直線コネクタ 80">
            <a:extLst>
              <a:ext uri="{FF2B5EF4-FFF2-40B4-BE49-F238E27FC236}">
                <a16:creationId xmlns:a16="http://schemas.microsoft.com/office/drawing/2014/main" id="{00000000-0008-0000-0000-000051000000}"/>
              </a:ext>
            </a:extLst>
          </xdr:cNvPr>
          <xdr:cNvCxnSpPr/>
        </xdr:nvCxnSpPr>
        <xdr:spPr>
          <a:xfrm>
            <a:off x="1338792" y="3952876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直線コネクタ 81">
            <a:extLst>
              <a:ext uri="{FF2B5EF4-FFF2-40B4-BE49-F238E27FC236}">
                <a16:creationId xmlns:a16="http://schemas.microsoft.com/office/drawing/2014/main" id="{00000000-0008-0000-0000-000052000000}"/>
              </a:ext>
            </a:extLst>
          </xdr:cNvPr>
          <xdr:cNvCxnSpPr/>
        </xdr:nvCxnSpPr>
        <xdr:spPr>
          <a:xfrm>
            <a:off x="1338792" y="4836477"/>
            <a:ext cx="9371541" cy="106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0</xdr:colOff>
      <xdr:row>1</xdr:row>
      <xdr:rowOff>580039</xdr:rowOff>
    </xdr:from>
    <xdr:to>
      <xdr:col>9</xdr:col>
      <xdr:colOff>0</xdr:colOff>
      <xdr:row>8</xdr:row>
      <xdr:rowOff>15876</xdr:rowOff>
    </xdr:to>
    <xdr:grpSp>
      <xdr:nvGrpSpPr>
        <xdr:cNvPr id="9" name="グループ化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338792" y="971622"/>
          <a:ext cx="9408584" cy="4796296"/>
          <a:chOff x="1338792" y="971848"/>
          <a:chExt cx="9371541" cy="4764546"/>
        </a:xfrm>
      </xdr:grpSpPr>
      <xdr:cxnSp macro="">
        <xdr:nvCxnSpPr>
          <xdr:cNvPr id="86" name="直線コネクタ 85">
            <a:extLst>
              <a:ext uri="{FF2B5EF4-FFF2-40B4-BE49-F238E27FC236}">
                <a16:creationId xmlns:a16="http://schemas.microsoft.com/office/drawing/2014/main" id="{00000000-0008-0000-0000-000056000000}"/>
              </a:ext>
            </a:extLst>
          </xdr:cNvPr>
          <xdr:cNvCxnSpPr/>
        </xdr:nvCxnSpPr>
        <xdr:spPr>
          <a:xfrm>
            <a:off x="1338792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直線コネクタ 86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CxnSpPr/>
        </xdr:nvCxnSpPr>
        <xdr:spPr>
          <a:xfrm>
            <a:off x="2677583" y="989542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" name="直線コネクタ 87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CxnSpPr/>
        </xdr:nvCxnSpPr>
        <xdr:spPr>
          <a:xfrm>
            <a:off x="9376834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9" name="直線コネクタ 88">
            <a:extLst>
              <a:ext uri="{FF2B5EF4-FFF2-40B4-BE49-F238E27FC236}">
                <a16:creationId xmlns:a16="http://schemas.microsoft.com/office/drawing/2014/main" id="{00000000-0008-0000-0000-000059000000}"/>
              </a:ext>
            </a:extLst>
          </xdr:cNvPr>
          <xdr:cNvCxnSpPr/>
        </xdr:nvCxnSpPr>
        <xdr:spPr>
          <a:xfrm>
            <a:off x="8032750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" name="直線コネクタ 89">
            <a:extLst>
              <a:ext uri="{FF2B5EF4-FFF2-40B4-BE49-F238E27FC236}">
                <a16:creationId xmlns:a16="http://schemas.microsoft.com/office/drawing/2014/main" id="{00000000-0008-0000-0000-00005A000000}"/>
              </a:ext>
            </a:extLst>
          </xdr:cNvPr>
          <xdr:cNvCxnSpPr/>
        </xdr:nvCxnSpPr>
        <xdr:spPr>
          <a:xfrm>
            <a:off x="6693959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1" name="直線コネクタ 90">
            <a:extLst>
              <a:ext uri="{FF2B5EF4-FFF2-40B4-BE49-F238E27FC236}">
                <a16:creationId xmlns:a16="http://schemas.microsoft.com/office/drawing/2014/main" id="{00000000-0008-0000-0000-00005B000000}"/>
              </a:ext>
            </a:extLst>
          </xdr:cNvPr>
          <xdr:cNvCxnSpPr/>
        </xdr:nvCxnSpPr>
        <xdr:spPr>
          <a:xfrm>
            <a:off x="5355167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" name="直線コネクタ 91">
            <a:extLst>
              <a:ext uri="{FF2B5EF4-FFF2-40B4-BE49-F238E27FC236}">
                <a16:creationId xmlns:a16="http://schemas.microsoft.com/office/drawing/2014/main" id="{00000000-0008-0000-0000-00005C000000}"/>
              </a:ext>
            </a:extLst>
          </xdr:cNvPr>
          <xdr:cNvCxnSpPr/>
        </xdr:nvCxnSpPr>
        <xdr:spPr>
          <a:xfrm>
            <a:off x="4016376" y="971848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" name="直線コネクタ 92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CxnSpPr/>
        </xdr:nvCxnSpPr>
        <xdr:spPr>
          <a:xfrm>
            <a:off x="10710333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5" name="直線コネクタ 94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CxnSpPr/>
        </xdr:nvCxnSpPr>
        <xdr:spPr>
          <a:xfrm>
            <a:off x="1338792" y="971848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6" name="直線コネクタ 95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CxnSpPr/>
        </xdr:nvCxnSpPr>
        <xdr:spPr>
          <a:xfrm>
            <a:off x="1338792" y="1305073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7" name="直線コネクタ 96">
            <a:extLst>
              <a:ext uri="{FF2B5EF4-FFF2-40B4-BE49-F238E27FC236}">
                <a16:creationId xmlns:a16="http://schemas.microsoft.com/office/drawing/2014/main" id="{00000000-0008-0000-0000-000061000000}"/>
              </a:ext>
            </a:extLst>
          </xdr:cNvPr>
          <xdr:cNvCxnSpPr/>
        </xdr:nvCxnSpPr>
        <xdr:spPr>
          <a:xfrm>
            <a:off x="1338792" y="2196044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8" name="直線コネクタ 97">
            <a:extLst>
              <a:ext uri="{FF2B5EF4-FFF2-40B4-BE49-F238E27FC236}">
                <a16:creationId xmlns:a16="http://schemas.microsoft.com/office/drawing/2014/main" id="{00000000-0008-0000-0000-000062000000}"/>
              </a:ext>
            </a:extLst>
          </xdr:cNvPr>
          <xdr:cNvCxnSpPr/>
        </xdr:nvCxnSpPr>
        <xdr:spPr>
          <a:xfrm>
            <a:off x="1338792" y="3069167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9" name="直線コネクタ 98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CxnSpPr/>
        </xdr:nvCxnSpPr>
        <xdr:spPr>
          <a:xfrm>
            <a:off x="1338792" y="3952876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0" name="直線コネクタ 99">
            <a:extLst>
              <a:ext uri="{FF2B5EF4-FFF2-40B4-BE49-F238E27FC236}">
                <a16:creationId xmlns:a16="http://schemas.microsoft.com/office/drawing/2014/main" id="{00000000-0008-0000-0000-000064000000}"/>
              </a:ext>
            </a:extLst>
          </xdr:cNvPr>
          <xdr:cNvCxnSpPr/>
        </xdr:nvCxnSpPr>
        <xdr:spPr>
          <a:xfrm>
            <a:off x="1338792" y="4836583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1" name="直線コネクタ 100">
            <a:extLst>
              <a:ext uri="{FF2B5EF4-FFF2-40B4-BE49-F238E27FC236}">
                <a16:creationId xmlns:a16="http://schemas.microsoft.com/office/drawing/2014/main" id="{00000000-0008-0000-0000-000065000000}"/>
              </a:ext>
            </a:extLst>
          </xdr:cNvPr>
          <xdr:cNvCxnSpPr/>
        </xdr:nvCxnSpPr>
        <xdr:spPr>
          <a:xfrm>
            <a:off x="1338792" y="5720292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882111</xdr:colOff>
      <xdr:row>8</xdr:row>
      <xdr:rowOff>24849</xdr:rowOff>
    </xdr:to>
    <xdr:grpSp>
      <xdr:nvGrpSpPr>
        <xdr:cNvPr id="2726" name="グループ化 2725">
          <a:extLst>
            <a:ext uri="{FF2B5EF4-FFF2-40B4-BE49-F238E27FC236}">
              <a16:creationId xmlns:a16="http://schemas.microsoft.com/office/drawing/2014/main" id="{00000000-0008-0000-0000-0000A60A0000}"/>
            </a:ext>
          </a:extLst>
        </xdr:cNvPr>
        <xdr:cNvGrpSpPr/>
      </xdr:nvGrpSpPr>
      <xdr:grpSpPr>
        <a:xfrm>
          <a:off x="455083" y="1307042"/>
          <a:ext cx="882111" cy="4469849"/>
          <a:chOff x="456682" y="1432431"/>
          <a:chExt cx="882110" cy="4443392"/>
        </a:xfrm>
      </xdr:grpSpPr>
      <xdr:pic>
        <xdr:nvPicPr>
          <xdr:cNvPr id="7" name="グラフィックス 6" descr="モニター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1432431"/>
            <a:ext cx="882110" cy="883709"/>
          </a:xfrm>
          <a:prstGeom prst="rect">
            <a:avLst/>
          </a:prstGeom>
        </xdr:spPr>
      </xdr:pic>
      <xdr:pic>
        <xdr:nvPicPr>
          <xdr:cNvPr id="59" name="グラフィックス 58" descr="モニター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2322351"/>
            <a:ext cx="882110" cy="883709"/>
          </a:xfrm>
          <a:prstGeom prst="rect">
            <a:avLst/>
          </a:prstGeom>
        </xdr:spPr>
      </xdr:pic>
      <xdr:pic>
        <xdr:nvPicPr>
          <xdr:cNvPr id="60" name="グラフィックス 59" descr="モニター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3212271"/>
            <a:ext cx="882110" cy="883710"/>
          </a:xfrm>
          <a:prstGeom prst="rect">
            <a:avLst/>
          </a:prstGeom>
        </xdr:spPr>
      </xdr:pic>
      <xdr:pic>
        <xdr:nvPicPr>
          <xdr:cNvPr id="63" name="グラフィックス 62" descr="モニター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4102192"/>
            <a:ext cx="882110" cy="883709"/>
          </a:xfrm>
          <a:prstGeom prst="rect">
            <a:avLst/>
          </a:prstGeom>
        </xdr:spPr>
      </xdr:pic>
      <xdr:pic>
        <xdr:nvPicPr>
          <xdr:cNvPr id="64" name="グラフィックス 63" descr="モニター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4992113"/>
            <a:ext cx="882110" cy="88371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370417</xdr:colOff>
      <xdr:row>0</xdr:row>
      <xdr:rowOff>52918</xdr:rowOff>
    </xdr:from>
    <xdr:to>
      <xdr:col>9</xdr:col>
      <xdr:colOff>190499</xdr:colOff>
      <xdr:row>13</xdr:row>
      <xdr:rowOff>173935</xdr:rowOff>
    </xdr:to>
    <xdr:sp macro="" textlink="">
      <xdr:nvSpPr>
        <xdr:cNvPr id="2728" name="四角形: 角を丸くする 2727">
          <a:extLst>
            <a:ext uri="{FF2B5EF4-FFF2-40B4-BE49-F238E27FC236}">
              <a16:creationId xmlns:a16="http://schemas.microsoft.com/office/drawing/2014/main" id="{00000000-0008-0000-0000-0000A80A0000}"/>
            </a:ext>
          </a:extLst>
        </xdr:cNvPr>
        <xdr:cNvSpPr/>
      </xdr:nvSpPr>
      <xdr:spPr>
        <a:xfrm>
          <a:off x="370417" y="52918"/>
          <a:ext cx="10554343" cy="7616778"/>
        </a:xfrm>
        <a:prstGeom prst="roundRect">
          <a:avLst>
            <a:gd name="adj" fmla="val 1184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397737</xdr:colOff>
      <xdr:row>0</xdr:row>
      <xdr:rowOff>0</xdr:rowOff>
    </xdr:from>
    <xdr:to>
      <xdr:col>5</xdr:col>
      <xdr:colOff>83816</xdr:colOff>
      <xdr:row>1</xdr:row>
      <xdr:rowOff>429494</xdr:rowOff>
    </xdr:to>
    <xdr:sp macro="" textlink="">
      <xdr:nvSpPr>
        <xdr:cNvPr id="2744" name="テキスト ボックス 2743">
          <a:extLst>
            <a:ext uri="{FF2B5EF4-FFF2-40B4-BE49-F238E27FC236}">
              <a16:creationId xmlns:a16="http://schemas.microsoft.com/office/drawing/2014/main" id="{00000000-0008-0000-0000-0000B80A0000}"/>
            </a:ext>
          </a:extLst>
        </xdr:cNvPr>
        <xdr:cNvSpPr txBox="1"/>
      </xdr:nvSpPr>
      <xdr:spPr>
        <a:xfrm>
          <a:off x="852820" y="0"/>
          <a:ext cx="4586163" cy="8210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2400">
              <a:latin typeface="源ノ角ゴシック JP" panose="020B0500000000000000" pitchFamily="34" charset="-128"/>
              <a:ea typeface="源ノ角ゴシック JP" panose="020B0500000000000000" pitchFamily="34" charset="-128"/>
            </a:rPr>
            <a:t>PC</a:t>
          </a:r>
          <a:r>
            <a:rPr kumimoji="1" lang="ja-JP" altLang="en-US" sz="2400">
              <a:latin typeface="源ノ角ゴシック JP" panose="020B0500000000000000" pitchFamily="34" charset="-128"/>
              <a:ea typeface="源ノ角ゴシック JP" panose="020B0500000000000000" pitchFamily="34" charset="-128"/>
            </a:rPr>
            <a:t>席予約状況</a:t>
          </a:r>
        </a:p>
      </xdr:txBody>
    </xdr:sp>
    <xdr:clientData/>
  </xdr:twoCellAnchor>
  <xdr:twoCellAnchor>
    <xdr:from>
      <xdr:col>1</xdr:col>
      <xdr:colOff>166332</xdr:colOff>
      <xdr:row>1</xdr:row>
      <xdr:rowOff>135350</xdr:rowOff>
    </xdr:from>
    <xdr:to>
      <xdr:col>9</xdr:col>
      <xdr:colOff>34069</xdr:colOff>
      <xdr:row>1</xdr:row>
      <xdr:rowOff>135351</xdr:rowOff>
    </xdr:to>
    <xdr:cxnSp macro="">
      <xdr:nvCxnSpPr>
        <xdr:cNvPr id="2746" name="直線コネクタ 2745">
          <a:extLst>
            <a:ext uri="{FF2B5EF4-FFF2-40B4-BE49-F238E27FC236}">
              <a16:creationId xmlns:a16="http://schemas.microsoft.com/office/drawing/2014/main" id="{00000000-0008-0000-0000-0000BA0A0000}"/>
            </a:ext>
          </a:extLst>
        </xdr:cNvPr>
        <xdr:cNvCxnSpPr/>
      </xdr:nvCxnSpPr>
      <xdr:spPr>
        <a:xfrm flipV="1">
          <a:off x="621415" y="526933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134720</xdr:colOff>
      <xdr:row>9</xdr:row>
      <xdr:rowOff>365717</xdr:rowOff>
    </xdr:from>
    <xdr:to>
      <xdr:col>9</xdr:col>
      <xdr:colOff>2457</xdr:colOff>
      <xdr:row>9</xdr:row>
      <xdr:rowOff>365718</xdr:rowOff>
    </xdr:to>
    <xdr:cxnSp macro="">
      <xdr:nvCxnSpPr>
        <xdr:cNvPr id="112" name="直線コネクタ 11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CxnSpPr/>
      </xdr:nvCxnSpPr>
      <xdr:spPr>
        <a:xfrm flipV="1">
          <a:off x="589803" y="6340009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128453</xdr:colOff>
      <xdr:row>8</xdr:row>
      <xdr:rowOff>122174</xdr:rowOff>
    </xdr:from>
    <xdr:to>
      <xdr:col>8</xdr:col>
      <xdr:colOff>1334981</xdr:colOff>
      <xdr:row>8</xdr:row>
      <xdr:rowOff>122175</xdr:rowOff>
    </xdr:to>
    <xdr:cxnSp macro="">
      <xdr:nvCxnSpPr>
        <xdr:cNvPr id="116" name="直線コネクタ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CxnSpPr/>
      </xdr:nvCxnSpPr>
      <xdr:spPr>
        <a:xfrm flipV="1">
          <a:off x="583536" y="5842466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35453</xdr:colOff>
      <xdr:row>9</xdr:row>
      <xdr:rowOff>286808</xdr:rowOff>
    </xdr:from>
    <xdr:to>
      <xdr:col>3</xdr:col>
      <xdr:colOff>445628</xdr:colOff>
      <xdr:row>9</xdr:row>
      <xdr:rowOff>286808</xdr:rowOff>
    </xdr:to>
    <xdr:cxnSp macro="">
      <xdr:nvCxnSpPr>
        <xdr:cNvPr id="142" name="直線コネクタ 14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CxnSpPr/>
      </xdr:nvCxnSpPr>
      <xdr:spPr>
        <a:xfrm>
          <a:off x="1378478" y="6759046"/>
          <a:ext cx="1748438" cy="0"/>
        </a:xfrm>
        <a:prstGeom prst="line">
          <a:avLst/>
        </a:prstGeom>
        <a:ln w="57150">
          <a:solidFill>
            <a:srgbClr val="FF0000">
              <a:alpha val="2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26469</xdr:colOff>
      <xdr:row>3</xdr:row>
      <xdr:rowOff>686815</xdr:rowOff>
    </xdr:from>
    <xdr:to>
      <xdr:col>11</xdr:col>
      <xdr:colOff>1561428</xdr:colOff>
      <xdr:row>3</xdr:row>
      <xdr:rowOff>686815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>
          <a:off x="11440595" y="1988565"/>
          <a:ext cx="3096000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759074</xdr:colOff>
      <xdr:row>3</xdr:row>
      <xdr:rowOff>471740</xdr:rowOff>
    </xdr:from>
    <xdr:to>
      <xdr:col>11</xdr:col>
      <xdr:colOff>853509</xdr:colOff>
      <xdr:row>3</xdr:row>
      <xdr:rowOff>471740</xdr:rowOff>
    </xdr:to>
    <xdr:cxnSp macro="">
      <xdr:nvCxnSpPr>
        <xdr:cNvPr id="137" name="直線コネクタ 136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CxnSpPr/>
      </xdr:nvCxnSpPr>
      <xdr:spPr>
        <a:xfrm>
          <a:off x="12173200" y="1773490"/>
          <a:ext cx="1655476" cy="0"/>
        </a:xfrm>
        <a:prstGeom prst="line">
          <a:avLst/>
        </a:prstGeom>
        <a:ln w="57150">
          <a:solidFill>
            <a:srgbClr val="FF0000">
              <a:alpha val="2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146092</xdr:colOff>
      <xdr:row>3</xdr:row>
      <xdr:rowOff>1058</xdr:rowOff>
    </xdr:from>
    <xdr:to>
      <xdr:col>11</xdr:col>
      <xdr:colOff>1003063</xdr:colOff>
      <xdr:row>3</xdr:row>
      <xdr:rowOff>602149</xdr:rowOff>
    </xdr:to>
    <xdr:grpSp>
      <xdr:nvGrpSpPr>
        <xdr:cNvPr id="13" name="グループ化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11597259" y="1308100"/>
          <a:ext cx="2597930" cy="601091"/>
          <a:chOff x="11560218" y="1302808"/>
          <a:chExt cx="2418012" cy="601091"/>
        </a:xfrm>
      </xdr:grpSpPr>
      <xdr:sp macro="" textlink="">
        <xdr:nvSpPr>
          <xdr:cNvPr id="43" name="テキスト ボックス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12145406" y="1302808"/>
            <a:ext cx="1832824" cy="5692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2400"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勤務中の</a:t>
            </a:r>
            <a:r>
              <a:rPr kumimoji="1" lang="en-US" altLang="ja-JP" sz="2400"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LA</a:t>
            </a:r>
            <a:endParaRPr kumimoji="1" lang="ja-JP" altLang="en-US" sz="2400">
              <a:latin typeface="源ノ角ゴシック JP" panose="020B0500000000000000" pitchFamily="34" charset="-128"/>
              <a:ea typeface="源ノ角ゴシック JP" panose="020B0500000000000000" pitchFamily="34" charset="-128"/>
            </a:endParaRPr>
          </a:p>
        </xdr:txBody>
      </xdr:sp>
      <xdr:pic>
        <xdr:nvPicPr>
          <xdr:cNvPr id="106" name="グラフィックス 105" descr="社員証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 amt="6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560218" y="1336735"/>
            <a:ext cx="566140" cy="567164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71967</xdr:colOff>
      <xdr:row>6</xdr:row>
      <xdr:rowOff>717609</xdr:rowOff>
    </xdr:from>
    <xdr:to>
      <xdr:col>11</xdr:col>
      <xdr:colOff>1606926</xdr:colOff>
      <xdr:row>6</xdr:row>
      <xdr:rowOff>717609</xdr:rowOff>
    </xdr:to>
    <xdr:cxnSp macro="">
      <xdr:nvCxnSpPr>
        <xdr:cNvPr id="65" name="直線コネクタ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CxnSpPr/>
      </xdr:nvCxnSpPr>
      <xdr:spPr>
        <a:xfrm>
          <a:off x="11348509" y="4670485"/>
          <a:ext cx="3096000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697451</xdr:colOff>
      <xdr:row>11</xdr:row>
      <xdr:rowOff>373617</xdr:rowOff>
    </xdr:from>
    <xdr:to>
      <xdr:col>11</xdr:col>
      <xdr:colOff>1671106</xdr:colOff>
      <xdr:row>11</xdr:row>
      <xdr:rowOff>373617</xdr:rowOff>
    </xdr:to>
    <xdr:cxnSp macro="">
      <xdr:nvCxnSpPr>
        <xdr:cNvPr id="66" name="直線コネクタ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CxnSpPr/>
      </xdr:nvCxnSpPr>
      <xdr:spPr>
        <a:xfrm>
          <a:off x="11407784" y="7109909"/>
          <a:ext cx="3238489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486834</xdr:colOff>
      <xdr:row>3</xdr:row>
      <xdr:rowOff>31750</xdr:rowOff>
    </xdr:from>
    <xdr:to>
      <xdr:col>11</xdr:col>
      <xdr:colOff>1778000</xdr:colOff>
      <xdr:row>13</xdr:row>
      <xdr:rowOff>174625</xdr:rowOff>
    </xdr:to>
    <xdr:sp macro="" textlink="">
      <xdr:nvSpPr>
        <xdr:cNvPr id="4" name="stat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197167" y="1333500"/>
          <a:ext cx="3556000" cy="6339417"/>
        </a:xfrm>
        <a:prstGeom prst="roundRect">
          <a:avLst>
            <a:gd name="adj" fmla="val 2426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696516</xdr:colOff>
      <xdr:row>0</xdr:row>
      <xdr:rowOff>232173</xdr:rowOff>
    </xdr:from>
    <xdr:to>
      <xdr:col>36</xdr:col>
      <xdr:colOff>303610</xdr:colOff>
      <xdr:row>17</xdr:row>
      <xdr:rowOff>61232</xdr:rowOff>
    </xdr:to>
    <xdr:sp macro="" textlink="">
      <xdr:nvSpPr>
        <xdr:cNvPr id="77" name="state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>
          <a:off x="15698391" y="232173"/>
          <a:ext cx="18109407" cy="8734934"/>
        </a:xfrm>
        <a:prstGeom prst="roundRect">
          <a:avLst>
            <a:gd name="adj" fmla="val 2426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433917</xdr:colOff>
      <xdr:row>10</xdr:row>
      <xdr:rowOff>306916</xdr:rowOff>
    </xdr:from>
    <xdr:to>
      <xdr:col>2</xdr:col>
      <xdr:colOff>47625</xdr:colOff>
      <xdr:row>12</xdr:row>
      <xdr:rowOff>137583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33917" y="7154333"/>
          <a:ext cx="952500" cy="592667"/>
        </a:xfrm>
        <a:prstGeom prst="rect">
          <a:avLst/>
        </a:prstGeom>
        <a:solidFill>
          <a:srgbClr val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4</xdr:col>
      <xdr:colOff>976313</xdr:colOff>
      <xdr:row>1</xdr:row>
      <xdr:rowOff>190499</xdr:rowOff>
    </xdr:from>
    <xdr:to>
      <xdr:col>4</xdr:col>
      <xdr:colOff>1317987</xdr:colOff>
      <xdr:row>1</xdr:row>
      <xdr:rowOff>531706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alphaModFix amt="6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9" y="582082"/>
          <a:ext cx="341674" cy="341207"/>
        </a:xfrm>
        <a:prstGeom prst="rect">
          <a:avLst/>
        </a:prstGeom>
      </xdr:spPr>
    </xdr:pic>
    <xdr:clientData/>
  </xdr:twoCellAnchor>
  <xdr:twoCellAnchor>
    <xdr:from>
      <xdr:col>10</xdr:col>
      <xdr:colOff>266985</xdr:colOff>
      <xdr:row>12</xdr:row>
      <xdr:rowOff>67305</xdr:rowOff>
    </xdr:from>
    <xdr:to>
      <xdr:col>11</xdr:col>
      <xdr:colOff>1409568</xdr:colOff>
      <xdr:row>13</xdr:row>
      <xdr:rowOff>55201</xdr:rowOff>
    </xdr:to>
    <xdr:grpSp>
      <xdr:nvGrpSpPr>
        <xdr:cNvPr id="16" name="グループ化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11718152" y="7216347"/>
          <a:ext cx="2883542" cy="368896"/>
          <a:chOff x="11421580" y="7155854"/>
          <a:chExt cx="2696588" cy="368896"/>
        </a:xfrm>
      </xdr:grpSpPr>
      <xdr:sp macro="[0]!show_profile" textlink="">
        <xdr:nvSpPr>
          <xdr:cNvPr id="2" name="四角形: 角を丸くする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11421580" y="7155854"/>
            <a:ext cx="2696588" cy="368896"/>
          </a:xfrm>
          <a:prstGeom prst="roundRect">
            <a:avLst/>
          </a:prstGeom>
          <a:solidFill>
            <a:sysClr val="window" lastClr="FFFFFF"/>
          </a:solidFill>
          <a:ln w="28575">
            <a:solidFill>
              <a:schemeClr val="accent3">
                <a:lumMod val="75000"/>
              </a:schemeClr>
            </a:solidFill>
          </a:ln>
          <a:effectLst>
            <a:outerShdw dist="50800" dir="3600000" algn="tl" rotWithShape="0">
              <a:prstClr val="black">
                <a:alpha val="40000"/>
              </a:prstClr>
            </a:outerShdw>
            <a:softEdge rad="127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LA</a:t>
            </a:r>
            <a:r>
              <a:rPr kumimoji="1" lang="ja-JP" altLang="en-US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の</a:t>
            </a:r>
            <a:r>
              <a:rPr kumimoji="1" lang="ja-JP" altLang="en-US" sz="1050" u="none" baseline="0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プロフィール</a:t>
            </a:r>
            <a:r>
              <a:rPr kumimoji="1" lang="ja-JP" altLang="en-US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を詳しくみてみる</a:t>
            </a:r>
          </a:p>
        </xdr:txBody>
      </xdr:sp>
      <xdr:pic macro="[0]!show_profile">
        <xdr:nvPicPr>
          <xdr:cNvPr id="14" name="図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alphaModFix amt="6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69185" y="7217834"/>
            <a:ext cx="211400" cy="237490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466725</xdr:colOff>
      <xdr:row>8</xdr:row>
      <xdr:rowOff>188906</xdr:rowOff>
    </xdr:from>
    <xdr:to>
      <xdr:col>1</xdr:col>
      <xdr:colOff>876301</xdr:colOff>
      <xdr:row>9</xdr:row>
      <xdr:rowOff>344482</xdr:rowOff>
    </xdr:to>
    <xdr:pic>
      <xdr:nvPicPr>
        <xdr:cNvPr id="17" name="グラフィックス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alphaModFix amt="80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21808" y="5909198"/>
          <a:ext cx="409576" cy="4095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18</xdr:row>
          <xdr:rowOff>28575</xdr:rowOff>
        </xdr:from>
        <xdr:to>
          <xdr:col>24</xdr:col>
          <xdr:colOff>495300</xdr:colOff>
          <xdr:row>19</xdr:row>
          <xdr:rowOff>209550</xdr:rowOff>
        </xdr:to>
        <xdr:sp macro="" textlink="">
          <xdr:nvSpPr>
            <xdr:cNvPr id="2761" name="Button 713" hidden="1">
              <a:extLst>
                <a:ext uri="{63B3BB69-23CF-44E3-9099-C40C66FF867C}">
                  <a14:compatExt spid="_x0000_s2761"/>
                </a:ext>
                <a:ext uri="{FF2B5EF4-FFF2-40B4-BE49-F238E27FC236}">
                  <a16:creationId xmlns:a16="http://schemas.microsoft.com/office/drawing/2014/main" id="{00000000-0008-0000-0000-0000C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表の色を付ける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566738</xdr:colOff>
          <xdr:row>5</xdr:row>
          <xdr:rowOff>366713</xdr:rowOff>
        </xdr:from>
        <xdr:to>
          <xdr:col>18</xdr:col>
          <xdr:colOff>314325</xdr:colOff>
          <xdr:row>6</xdr:row>
          <xdr:rowOff>280988</xdr:rowOff>
        </xdr:to>
        <xdr:sp macro="" textlink="">
          <xdr:nvSpPr>
            <xdr:cNvPr id="2762" name="Button 714" hidden="1">
              <a:extLst>
                <a:ext uri="{63B3BB69-23CF-44E3-9099-C40C66FF867C}">
                  <a14:compatExt spid="_x0000_s2762"/>
                </a:ext>
                <a:ext uri="{FF2B5EF4-FFF2-40B4-BE49-F238E27FC236}">
                  <a16:creationId xmlns:a16="http://schemas.microsoft.com/office/drawing/2014/main" id="{00000000-0008-0000-0000-0000C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マクロ再実行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90488</xdr:colOff>
          <xdr:row>14</xdr:row>
          <xdr:rowOff>85725</xdr:rowOff>
        </xdr:from>
        <xdr:to>
          <xdr:col>23</xdr:col>
          <xdr:colOff>576263</xdr:colOff>
          <xdr:row>15</xdr:row>
          <xdr:rowOff>261938</xdr:rowOff>
        </xdr:to>
        <xdr:sp macro="" textlink="">
          <xdr:nvSpPr>
            <xdr:cNvPr id="2763" name="Button 715" hidden="1">
              <a:extLst>
                <a:ext uri="{63B3BB69-23CF-44E3-9099-C40C66FF867C}">
                  <a14:compatExt spid="_x0000_s2763"/>
                </a:ext>
                <a:ext uri="{FF2B5EF4-FFF2-40B4-BE49-F238E27FC236}">
                  <a16:creationId xmlns:a16="http://schemas.microsoft.com/office/drawing/2014/main" id="{00000000-0008-0000-0000-0000C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予約制限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3</xdr:row>
          <xdr:rowOff>33338</xdr:rowOff>
        </xdr:from>
        <xdr:to>
          <xdr:col>15</xdr:col>
          <xdr:colOff>133350</xdr:colOff>
          <xdr:row>3</xdr:row>
          <xdr:rowOff>428625</xdr:rowOff>
        </xdr:to>
        <xdr:sp macro="" textlink="">
          <xdr:nvSpPr>
            <xdr:cNvPr id="2770" name="Button 722" hidden="1">
              <a:extLst>
                <a:ext uri="{63B3BB69-23CF-44E3-9099-C40C66FF867C}">
                  <a14:compatExt spid="_x0000_s2770"/>
                </a:ext>
                <a:ext uri="{FF2B5EF4-FFF2-40B4-BE49-F238E27FC236}">
                  <a16:creationId xmlns:a16="http://schemas.microsoft.com/office/drawing/2014/main" id="{00000000-0008-0000-0000-0000D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数式バー表示／非表示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3</xdr:row>
          <xdr:rowOff>571500</xdr:rowOff>
        </xdr:from>
        <xdr:to>
          <xdr:col>15</xdr:col>
          <xdr:colOff>200025</xdr:colOff>
          <xdr:row>4</xdr:row>
          <xdr:rowOff>61913</xdr:rowOff>
        </xdr:to>
        <xdr:sp macro="" textlink="">
          <xdr:nvSpPr>
            <xdr:cNvPr id="2771" name="Button 723" hidden="1">
              <a:extLst>
                <a:ext uri="{63B3BB69-23CF-44E3-9099-C40C66FF867C}">
                  <a14:compatExt spid="_x0000_s2771"/>
                </a:ext>
                <a:ext uri="{FF2B5EF4-FFF2-40B4-BE49-F238E27FC236}">
                  <a16:creationId xmlns:a16="http://schemas.microsoft.com/office/drawing/2014/main" id="{00000000-0008-0000-0000-0000D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行列番号表示／非表示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4</xdr:row>
          <xdr:rowOff>190500</xdr:rowOff>
        </xdr:from>
        <xdr:to>
          <xdr:col>15</xdr:col>
          <xdr:colOff>200025</xdr:colOff>
          <xdr:row>4</xdr:row>
          <xdr:rowOff>585788</xdr:rowOff>
        </xdr:to>
        <xdr:sp macro="" textlink="">
          <xdr:nvSpPr>
            <xdr:cNvPr id="2772" name="Button 724" hidden="1">
              <a:extLst>
                <a:ext uri="{63B3BB69-23CF-44E3-9099-C40C66FF867C}">
                  <a14:compatExt spid="_x0000_s2772"/>
                </a:ext>
                <a:ext uri="{FF2B5EF4-FFF2-40B4-BE49-F238E27FC236}">
                  <a16:creationId xmlns:a16="http://schemas.microsoft.com/office/drawing/2014/main" id="{00000000-0008-0000-0000-0000D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スクロールバー表示／非表示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4</xdr:row>
          <xdr:rowOff>733425</xdr:rowOff>
        </xdr:from>
        <xdr:to>
          <xdr:col>15</xdr:col>
          <xdr:colOff>185738</xdr:colOff>
          <xdr:row>5</xdr:row>
          <xdr:rowOff>238125</xdr:rowOff>
        </xdr:to>
        <xdr:sp macro="" textlink="">
          <xdr:nvSpPr>
            <xdr:cNvPr id="2773" name="Button 725" hidden="1">
              <a:extLst>
                <a:ext uri="{63B3BB69-23CF-44E3-9099-C40C66FF867C}">
                  <a14:compatExt spid="_x0000_s2773"/>
                </a:ext>
                <a:ext uri="{FF2B5EF4-FFF2-40B4-BE49-F238E27FC236}">
                  <a16:creationId xmlns:a16="http://schemas.microsoft.com/office/drawing/2014/main" id="{00000000-0008-0000-0000-0000D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ステータスバー表示／非表示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14288</xdr:colOff>
          <xdr:row>5</xdr:row>
          <xdr:rowOff>352425</xdr:rowOff>
        </xdr:from>
        <xdr:to>
          <xdr:col>15</xdr:col>
          <xdr:colOff>176213</xdr:colOff>
          <xdr:row>5</xdr:row>
          <xdr:rowOff>776288</xdr:rowOff>
        </xdr:to>
        <xdr:sp macro="" textlink="">
          <xdr:nvSpPr>
            <xdr:cNvPr id="2774" name="Button 726" hidden="1">
              <a:extLst>
                <a:ext uri="{63B3BB69-23CF-44E3-9099-C40C66FF867C}">
                  <a14:compatExt spid="_x0000_s2774"/>
                </a:ext>
                <a:ext uri="{FF2B5EF4-FFF2-40B4-BE49-F238E27FC236}">
                  <a16:creationId xmlns:a16="http://schemas.microsoft.com/office/drawing/2014/main" id="{00000000-0008-0000-0000-0000D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シートタブ表示／非表示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955541</xdr:colOff>
      <xdr:row>12</xdr:row>
      <xdr:rowOff>6802</xdr:rowOff>
    </xdr:from>
    <xdr:to>
      <xdr:col>9</xdr:col>
      <xdr:colOff>173131</xdr:colOff>
      <xdr:row>13</xdr:row>
      <xdr:rowOff>183695</xdr:rowOff>
    </xdr:to>
    <xdr:pic macro="[0]!scrollbar_display">
      <xdr:nvPicPr>
        <xdr:cNvPr id="21" name="グラフィックス 20" descr="歯車 1 つ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alphaModFix amt="65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337667" y="7164159"/>
          <a:ext cx="557893" cy="5578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23813</xdr:colOff>
          <xdr:row>6</xdr:row>
          <xdr:rowOff>757238</xdr:rowOff>
        </xdr:from>
        <xdr:to>
          <xdr:col>15</xdr:col>
          <xdr:colOff>152400</xdr:colOff>
          <xdr:row>7</xdr:row>
          <xdr:rowOff>214313</xdr:rowOff>
        </xdr:to>
        <xdr:sp macro="" textlink="">
          <xdr:nvSpPr>
            <xdr:cNvPr id="2779" name="Button 731" hidden="1">
              <a:extLst>
                <a:ext uri="{63B3BB69-23CF-44E3-9099-C40C66FF867C}">
                  <a14:compatExt spid="_x0000_s2779"/>
                </a:ext>
                <a:ext uri="{FF2B5EF4-FFF2-40B4-BE49-F238E27FC236}">
                  <a16:creationId xmlns:a16="http://schemas.microsoft.com/office/drawing/2014/main" id="{00000000-0008-0000-0000-0000D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シートの保護の解除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6</xdr:row>
          <xdr:rowOff>314325</xdr:rowOff>
        </xdr:from>
        <xdr:to>
          <xdr:col>15</xdr:col>
          <xdr:colOff>152400</xdr:colOff>
          <xdr:row>6</xdr:row>
          <xdr:rowOff>633413</xdr:rowOff>
        </xdr:to>
        <xdr:sp macro="" textlink="">
          <xdr:nvSpPr>
            <xdr:cNvPr id="2780" name="Button 732" hidden="1">
              <a:extLst>
                <a:ext uri="{63B3BB69-23CF-44E3-9099-C40C66FF867C}">
                  <a14:compatExt spid="_x0000_s2780"/>
                </a:ext>
                <a:ext uri="{FF2B5EF4-FFF2-40B4-BE49-F238E27FC236}">
                  <a16:creationId xmlns:a16="http://schemas.microsoft.com/office/drawing/2014/main" id="{00000000-0008-0000-0000-0000D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シートの保護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1009650</xdr:colOff>
          <xdr:row>7</xdr:row>
          <xdr:rowOff>585788</xdr:rowOff>
        </xdr:from>
        <xdr:to>
          <xdr:col>15</xdr:col>
          <xdr:colOff>152400</xdr:colOff>
          <xdr:row>8</xdr:row>
          <xdr:rowOff>38100</xdr:rowOff>
        </xdr:to>
        <xdr:sp macro="" textlink="">
          <xdr:nvSpPr>
            <xdr:cNvPr id="2781" name="Button 733" hidden="1">
              <a:extLst>
                <a:ext uri="{63B3BB69-23CF-44E3-9099-C40C66FF867C}">
                  <a14:compatExt spid="_x0000_s2781"/>
                </a:ext>
                <a:ext uri="{FF2B5EF4-FFF2-40B4-BE49-F238E27FC236}">
                  <a16:creationId xmlns:a16="http://schemas.microsoft.com/office/drawing/2014/main" id="{00000000-0008-0000-0000-0000D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リボンの表示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8</xdr:row>
          <xdr:rowOff>157163</xdr:rowOff>
        </xdr:from>
        <xdr:to>
          <xdr:col>15</xdr:col>
          <xdr:colOff>161925</xdr:colOff>
          <xdr:row>9</xdr:row>
          <xdr:rowOff>214313</xdr:rowOff>
        </xdr:to>
        <xdr:sp macro="" textlink="">
          <xdr:nvSpPr>
            <xdr:cNvPr id="2782" name="Button 734" hidden="1">
              <a:extLst>
                <a:ext uri="{63B3BB69-23CF-44E3-9099-C40C66FF867C}">
                  <a14:compatExt spid="_x0000_s2782"/>
                </a:ext>
                <a:ext uri="{FF2B5EF4-FFF2-40B4-BE49-F238E27FC236}">
                  <a16:creationId xmlns:a16="http://schemas.microsoft.com/office/drawing/2014/main" id="{00000000-0008-0000-0000-0000D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リボンの非表示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176213</xdr:colOff>
          <xdr:row>12</xdr:row>
          <xdr:rowOff>133350</xdr:rowOff>
        </xdr:from>
        <xdr:to>
          <xdr:col>15</xdr:col>
          <xdr:colOff>328613</xdr:colOff>
          <xdr:row>13</xdr:row>
          <xdr:rowOff>85725</xdr:rowOff>
        </xdr:to>
        <xdr:sp macro="" textlink="">
          <xdr:nvSpPr>
            <xdr:cNvPr id="2784" name="Button 736" hidden="1">
              <a:extLst>
                <a:ext uri="{63B3BB69-23CF-44E3-9099-C40C66FF867C}">
                  <a14:compatExt spid="_x0000_s2784"/>
                </a:ext>
                <a:ext uri="{FF2B5EF4-FFF2-40B4-BE49-F238E27FC236}">
                  <a16:creationId xmlns:a16="http://schemas.microsoft.com/office/drawing/2014/main" id="{00000000-0008-0000-0000-0000E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VBEを開く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851297</xdr:colOff>
      <xdr:row>1</xdr:row>
      <xdr:rowOff>565549</xdr:rowOff>
    </xdr:from>
    <xdr:to>
      <xdr:col>15</xdr:col>
      <xdr:colOff>327422</xdr:colOff>
      <xdr:row>10</xdr:row>
      <xdr:rowOff>77392</xdr:rowOff>
    </xdr:to>
    <xdr:sp macro="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5853172" y="958455"/>
          <a:ext cx="2345531" cy="5524500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491730</xdr:colOff>
      <xdr:row>1</xdr:row>
      <xdr:rowOff>563168</xdr:rowOff>
    </xdr:from>
    <xdr:to>
      <xdr:col>18</xdr:col>
      <xdr:colOff>434579</xdr:colOff>
      <xdr:row>10</xdr:row>
      <xdr:rowOff>75011</xdr:rowOff>
    </xdr:to>
    <xdr:sp macro="" textlink="">
      <xdr:nvSpPr>
        <xdr:cNvPr id="85" name="四角形: 角を丸くする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>
        <a:xfrm>
          <a:off x="18363011" y="956074"/>
          <a:ext cx="1978818" cy="5524500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76200</xdr:colOff>
          <xdr:row>7</xdr:row>
          <xdr:rowOff>233363</xdr:rowOff>
        </xdr:from>
        <xdr:to>
          <xdr:col>23</xdr:col>
          <xdr:colOff>495300</xdr:colOff>
          <xdr:row>7</xdr:row>
          <xdr:rowOff>623888</xdr:rowOff>
        </xdr:to>
        <xdr:sp macro="" textlink="">
          <xdr:nvSpPr>
            <xdr:cNvPr id="2786" name="Button 738" hidden="1">
              <a:extLst>
                <a:ext uri="{63B3BB69-23CF-44E3-9099-C40C66FF867C}">
                  <a14:compatExt spid="_x0000_s2786"/>
                </a:ext>
                <a:ext uri="{FF2B5EF4-FFF2-40B4-BE49-F238E27FC236}">
                  <a16:creationId xmlns:a16="http://schemas.microsoft.com/office/drawing/2014/main" id="{00000000-0008-0000-0000-0000E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シフト追加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572692</xdr:colOff>
      <xdr:row>1</xdr:row>
      <xdr:rowOff>572693</xdr:rowOff>
    </xdr:from>
    <xdr:to>
      <xdr:col>24</xdr:col>
      <xdr:colOff>148828</xdr:colOff>
      <xdr:row>5</xdr:row>
      <xdr:rowOff>398859</xdr:rowOff>
    </xdr:to>
    <xdr:sp macro="" textlink="">
      <xdr:nvSpPr>
        <xdr:cNvPr id="94" name="四角形: 角を丸くする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20479942" y="965599"/>
          <a:ext cx="3648074" cy="2528885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558404</xdr:colOff>
      <xdr:row>5</xdr:row>
      <xdr:rowOff>546499</xdr:rowOff>
    </xdr:from>
    <xdr:to>
      <xdr:col>24</xdr:col>
      <xdr:colOff>134540</xdr:colOff>
      <xdr:row>10</xdr:row>
      <xdr:rowOff>68791</xdr:rowOff>
    </xdr:to>
    <xdr:sp macro="" textlink="">
      <xdr:nvSpPr>
        <xdr:cNvPr id="102" name="四角形: 角を丸くする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>
        <a:xfrm>
          <a:off x="20439196" y="3631541"/>
          <a:ext cx="3640136" cy="2824292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546498</xdr:colOff>
      <xdr:row>11</xdr:row>
      <xdr:rowOff>327421</xdr:rowOff>
    </xdr:from>
    <xdr:to>
      <xdr:col>24</xdr:col>
      <xdr:colOff>122634</xdr:colOff>
      <xdr:row>16</xdr:row>
      <xdr:rowOff>182165</xdr:rowOff>
    </xdr:to>
    <xdr:sp macro="" textlink="">
      <xdr:nvSpPr>
        <xdr:cNvPr id="103" name="四角形: 角を丸くする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>
        <a:xfrm>
          <a:off x="20453748" y="7113984"/>
          <a:ext cx="3648074" cy="1747837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171450</xdr:colOff>
          <xdr:row>13</xdr:row>
          <xdr:rowOff>342900</xdr:rowOff>
        </xdr:from>
        <xdr:to>
          <xdr:col>15</xdr:col>
          <xdr:colOff>314325</xdr:colOff>
          <xdr:row>14</xdr:row>
          <xdr:rowOff>257175</xdr:rowOff>
        </xdr:to>
        <xdr:sp macro="" textlink="">
          <xdr:nvSpPr>
            <xdr:cNvPr id="2794" name="Button 746" hidden="1">
              <a:extLst>
                <a:ext uri="{63B3BB69-23CF-44E3-9099-C40C66FF867C}">
                  <a14:compatExt spid="_x0000_s2794"/>
                </a:ext>
                <a:ext uri="{FF2B5EF4-FFF2-40B4-BE49-F238E27FC236}">
                  <a16:creationId xmlns:a16="http://schemas.microsoft.com/office/drawing/2014/main" id="{00000000-0008-0000-0000-0000E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パスコードの追加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585788</xdr:colOff>
          <xdr:row>4</xdr:row>
          <xdr:rowOff>133350</xdr:rowOff>
        </xdr:from>
        <xdr:to>
          <xdr:col>18</xdr:col>
          <xdr:colOff>280988</xdr:colOff>
          <xdr:row>4</xdr:row>
          <xdr:rowOff>885825</xdr:rowOff>
        </xdr:to>
        <xdr:sp macro="" textlink="">
          <xdr:nvSpPr>
            <xdr:cNvPr id="2817" name="Button 769" hidden="1">
              <a:extLst>
                <a:ext uri="{63B3BB69-23CF-44E3-9099-C40C66FF867C}">
                  <a14:compatExt spid="_x0000_s2817"/>
                </a:ext>
                <a:ext uri="{FF2B5EF4-FFF2-40B4-BE49-F238E27FC236}">
                  <a16:creationId xmlns:a16="http://schemas.microsoft.com/office/drawing/2014/main" id="{00000000-0008-0000-0000-00000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シフトシートソート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100013</xdr:colOff>
          <xdr:row>8</xdr:row>
          <xdr:rowOff>57150</xdr:rowOff>
        </xdr:from>
        <xdr:to>
          <xdr:col>23</xdr:col>
          <xdr:colOff>490538</xdr:colOff>
          <xdr:row>9</xdr:row>
          <xdr:rowOff>109538</xdr:rowOff>
        </xdr:to>
        <xdr:sp macro="" textlink="">
          <xdr:nvSpPr>
            <xdr:cNvPr id="2824" name="Button 776" hidden="1">
              <a:extLst>
                <a:ext uri="{63B3BB69-23CF-44E3-9099-C40C66FF867C}">
                  <a14:compatExt spid="_x0000_s2824"/>
                </a:ext>
                <a:ext uri="{FF2B5EF4-FFF2-40B4-BE49-F238E27FC236}">
                  <a16:creationId xmlns:a16="http://schemas.microsoft.com/office/drawing/2014/main" id="{00000000-0008-0000-0000-00000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シフト編集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4</xdr:row>
      <xdr:rowOff>0</xdr:rowOff>
    </xdr:from>
    <xdr:to>
      <xdr:col>11</xdr:col>
      <xdr:colOff>1366838</xdr:colOff>
      <xdr:row>6</xdr:row>
      <xdr:rowOff>509588</xdr:rowOff>
    </xdr:to>
    <xdr:pic>
      <xdr:nvPicPr>
        <xdr:cNvPr id="2865" name="Picture 817">
          <a:extLst>
            <a:ext uri="{FF2B5EF4-FFF2-40B4-BE49-F238E27FC236}">
              <a16:creationId xmlns:a16="http://schemas.microsoft.com/office/drawing/2014/main" id="{8C0CD642-D1EF-49A8-968B-3ABA9D3CAB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2195513"/>
          <a:ext cx="3109913" cy="2290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1397317</xdr:colOff>
      <xdr:row>0</xdr:row>
      <xdr:rowOff>45720</xdr:rowOff>
    </xdr:from>
    <xdr:to>
      <xdr:col>1</xdr:col>
      <xdr:colOff>2949892</xdr:colOff>
      <xdr:row>0</xdr:row>
      <xdr:rowOff>1760220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C8010DB1-CB47-42DB-9C0B-8274A3233E60}"/>
            </a:ext>
          </a:extLst>
        </xdr:cNvPr>
        <xdr:cNvSpPr txBox="1"/>
      </xdr:nvSpPr>
      <xdr:spPr>
        <a:xfrm>
          <a:off x="2083117" y="45720"/>
          <a:ext cx="1552575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
one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0</xdr:row>
      <xdr:rowOff>1257300</xdr:rowOff>
    </xdr:from>
    <xdr:to>
      <xdr:col>2</xdr:col>
      <xdr:colOff>0</xdr:colOff>
      <xdr:row>1</xdr:row>
      <xdr:rowOff>0</xdr:rowOff>
    </xdr:to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12214AE2-535B-4C33-8A23-EFAAFBAF1609}"/>
            </a:ext>
          </a:extLst>
        </xdr:cNvPr>
        <xdr:cNvSpPr txBox="1"/>
      </xdr:nvSpPr>
      <xdr:spPr>
        <a:xfrm>
          <a:off x="685800" y="1257300"/>
          <a:ext cx="3105150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68580</xdr:colOff>
      <xdr:row>0</xdr:row>
      <xdr:rowOff>114300</xdr:rowOff>
    </xdr:from>
    <xdr:to>
      <xdr:col>1</xdr:col>
      <xdr:colOff>1217485</xdr:colOff>
      <xdr:row>0</xdr:row>
      <xdr:rowOff>1263205</xdr:rowOff>
    </xdr:to>
    <xdr:pic>
      <xdr:nvPicPr>
        <xdr:cNvPr id="16" name="図 15">
          <a:extLst>
            <a:ext uri="{FF2B5EF4-FFF2-40B4-BE49-F238E27FC236}">
              <a16:creationId xmlns:a16="http://schemas.microsoft.com/office/drawing/2014/main" id="{CA7B3E22-EE83-4811-A1EE-EC6D62472D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4380" y="114300"/>
          <a:ext cx="1148905" cy="1148905"/>
        </a:xfrm>
        <a:prstGeom prst="ellipse">
          <a:avLst/>
        </a:prstGeom>
      </xdr:spPr>
    </xdr:pic>
    <xdr:clientData/>
  </xdr:twoCellAnchor>
  <xdr:twoCellAnchor>
    <xdr:from>
      <xdr:col>1</xdr:col>
      <xdr:colOff>1397317</xdr:colOff>
      <xdr:row>1</xdr:row>
      <xdr:rowOff>45720</xdr:rowOff>
    </xdr:from>
    <xdr:to>
      <xdr:col>1</xdr:col>
      <xdr:colOff>2949892</xdr:colOff>
      <xdr:row>1</xdr:row>
      <xdr:rowOff>1760220</xdr:rowOff>
    </xdr:to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899732B0-2D09-4552-9A74-DD57CEF40C84}"/>
            </a:ext>
          </a:extLst>
        </xdr:cNvPr>
        <xdr:cNvSpPr txBox="1"/>
      </xdr:nvSpPr>
      <xdr:spPr>
        <a:xfrm>
          <a:off x="2083117" y="2331720"/>
          <a:ext cx="1552575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
two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1</xdr:row>
      <xdr:rowOff>1257300</xdr:rowOff>
    </xdr:from>
    <xdr:to>
      <xdr:col>2</xdr:col>
      <xdr:colOff>0</xdr:colOff>
      <xdr:row>2</xdr:row>
      <xdr:rowOff>0</xdr:rowOff>
    </xdr:to>
    <xdr:sp macro="" textlink="">
      <xdr:nvSpPr>
        <xdr:cNvPr id="24" name="テキスト ボックス 23">
          <a:extLst>
            <a:ext uri="{FF2B5EF4-FFF2-40B4-BE49-F238E27FC236}">
              <a16:creationId xmlns:a16="http://schemas.microsoft.com/office/drawing/2014/main" id="{B263E12D-1AA7-4050-A03E-99C3AABECDA2}"/>
            </a:ext>
          </a:extLst>
        </xdr:cNvPr>
        <xdr:cNvSpPr txBox="1"/>
      </xdr:nvSpPr>
      <xdr:spPr>
        <a:xfrm>
          <a:off x="685800" y="3543300"/>
          <a:ext cx="3105150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68580</xdr:colOff>
      <xdr:row>1</xdr:row>
      <xdr:rowOff>114300</xdr:rowOff>
    </xdr:from>
    <xdr:to>
      <xdr:col>1</xdr:col>
      <xdr:colOff>1217485</xdr:colOff>
      <xdr:row>1</xdr:row>
      <xdr:rowOff>1263205</xdr:rowOff>
    </xdr:to>
    <xdr:pic>
      <xdr:nvPicPr>
        <xdr:cNvPr id="27" name="図 26">
          <a:extLst>
            <a:ext uri="{FF2B5EF4-FFF2-40B4-BE49-F238E27FC236}">
              <a16:creationId xmlns:a16="http://schemas.microsoft.com/office/drawing/2014/main" id="{53B32680-65D6-41A5-B856-E1F19F681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4380" y="2400300"/>
          <a:ext cx="1148905" cy="1148905"/>
        </a:xfrm>
        <a:prstGeom prst="ellipse">
          <a:avLst/>
        </a:prstGeom>
      </xdr:spPr>
    </xdr:pic>
    <xdr:clientData/>
  </xdr:twoCellAnchor>
  <xdr:twoCellAnchor>
    <xdr:from>
      <xdr:col>1</xdr:col>
      <xdr:colOff>1397317</xdr:colOff>
      <xdr:row>2</xdr:row>
      <xdr:rowOff>45720</xdr:rowOff>
    </xdr:from>
    <xdr:to>
      <xdr:col>1</xdr:col>
      <xdr:colOff>2949892</xdr:colOff>
      <xdr:row>2</xdr:row>
      <xdr:rowOff>1760220</xdr:rowOff>
    </xdr:to>
    <xdr:sp macro="" textlink="">
      <xdr:nvSpPr>
        <xdr:cNvPr id="28" name="テキスト ボックス 27">
          <a:extLst>
            <a:ext uri="{FF2B5EF4-FFF2-40B4-BE49-F238E27FC236}">
              <a16:creationId xmlns:a16="http://schemas.microsoft.com/office/drawing/2014/main" id="{B8F2CFB9-7DB2-4605-87B1-7C7106072DFF}"/>
            </a:ext>
          </a:extLst>
        </xdr:cNvPr>
        <xdr:cNvSpPr txBox="1"/>
      </xdr:nvSpPr>
      <xdr:spPr>
        <a:xfrm>
          <a:off x="2083117" y="4617720"/>
          <a:ext cx="1552575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
three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2</xdr:row>
      <xdr:rowOff>1257300</xdr:rowOff>
    </xdr:from>
    <xdr:to>
      <xdr:col>2</xdr:col>
      <xdr:colOff>0</xdr:colOff>
      <xdr:row>3</xdr:row>
      <xdr:rowOff>0</xdr:rowOff>
    </xdr:to>
    <xdr:sp macro="" textlink="">
      <xdr:nvSpPr>
        <xdr:cNvPr id="29" name="テキスト ボックス 28">
          <a:extLst>
            <a:ext uri="{FF2B5EF4-FFF2-40B4-BE49-F238E27FC236}">
              <a16:creationId xmlns:a16="http://schemas.microsoft.com/office/drawing/2014/main" id="{95B352D3-AAB2-4BA8-996E-6D95E43FB722}"/>
            </a:ext>
          </a:extLst>
        </xdr:cNvPr>
        <xdr:cNvSpPr txBox="1"/>
      </xdr:nvSpPr>
      <xdr:spPr>
        <a:xfrm>
          <a:off x="685800" y="5829300"/>
          <a:ext cx="3105150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68580</xdr:colOff>
      <xdr:row>2</xdr:row>
      <xdr:rowOff>114300</xdr:rowOff>
    </xdr:from>
    <xdr:to>
      <xdr:col>1</xdr:col>
      <xdr:colOff>1217485</xdr:colOff>
      <xdr:row>2</xdr:row>
      <xdr:rowOff>1263205</xdr:rowOff>
    </xdr:to>
    <xdr:pic>
      <xdr:nvPicPr>
        <xdr:cNvPr id="31" name="図 30">
          <a:extLst>
            <a:ext uri="{FF2B5EF4-FFF2-40B4-BE49-F238E27FC236}">
              <a16:creationId xmlns:a16="http://schemas.microsoft.com/office/drawing/2014/main" id="{609B93DB-E876-4975-BC42-80E0FC0896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4380" y="4686300"/>
          <a:ext cx="1148905" cy="1148905"/>
        </a:xfrm>
        <a:prstGeom prst="ellipse">
          <a:avLst/>
        </a:prstGeom>
      </xdr:spPr>
    </xdr:pic>
    <xdr:clientData/>
  </xdr:twoCellAnchor>
  <xdr:twoCellAnchor>
    <xdr:from>
      <xdr:col>1</xdr:col>
      <xdr:colOff>1397317</xdr:colOff>
      <xdr:row>3</xdr:row>
      <xdr:rowOff>45720</xdr:rowOff>
    </xdr:from>
    <xdr:to>
      <xdr:col>1</xdr:col>
      <xdr:colOff>2949892</xdr:colOff>
      <xdr:row>3</xdr:row>
      <xdr:rowOff>1760220</xdr:rowOff>
    </xdr:to>
    <xdr:sp macro="" textlink="">
      <xdr:nvSpPr>
        <xdr:cNvPr id="32" name="テキスト ボックス 31">
          <a:extLst>
            <a:ext uri="{FF2B5EF4-FFF2-40B4-BE49-F238E27FC236}">
              <a16:creationId xmlns:a16="http://schemas.microsoft.com/office/drawing/2014/main" id="{3AB0262C-F3FE-48E7-A97B-3F38D0B1DDEF}"/>
            </a:ext>
          </a:extLst>
        </xdr:cNvPr>
        <xdr:cNvSpPr txBox="1"/>
      </xdr:nvSpPr>
      <xdr:spPr>
        <a:xfrm>
          <a:off x="2083117" y="6903720"/>
          <a:ext cx="1552575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
four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3</xdr:row>
      <xdr:rowOff>1257300</xdr:rowOff>
    </xdr:from>
    <xdr:to>
      <xdr:col>2</xdr:col>
      <xdr:colOff>0</xdr:colOff>
      <xdr:row>4</xdr:row>
      <xdr:rowOff>0</xdr:rowOff>
    </xdr:to>
    <xdr:sp macro="" textlink="">
      <xdr:nvSpPr>
        <xdr:cNvPr id="33" name="テキスト ボックス 32">
          <a:extLst>
            <a:ext uri="{FF2B5EF4-FFF2-40B4-BE49-F238E27FC236}">
              <a16:creationId xmlns:a16="http://schemas.microsoft.com/office/drawing/2014/main" id="{DBC46777-4C60-4832-AE17-754556A9E8AF}"/>
            </a:ext>
          </a:extLst>
        </xdr:cNvPr>
        <xdr:cNvSpPr txBox="1"/>
      </xdr:nvSpPr>
      <xdr:spPr>
        <a:xfrm>
          <a:off x="685800" y="8115300"/>
          <a:ext cx="3105150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68580</xdr:colOff>
      <xdr:row>3</xdr:row>
      <xdr:rowOff>114300</xdr:rowOff>
    </xdr:from>
    <xdr:to>
      <xdr:col>1</xdr:col>
      <xdr:colOff>1217485</xdr:colOff>
      <xdr:row>3</xdr:row>
      <xdr:rowOff>1263205</xdr:rowOff>
    </xdr:to>
    <xdr:pic>
      <xdr:nvPicPr>
        <xdr:cNvPr id="35" name="図 34">
          <a:extLst>
            <a:ext uri="{FF2B5EF4-FFF2-40B4-BE49-F238E27FC236}">
              <a16:creationId xmlns:a16="http://schemas.microsoft.com/office/drawing/2014/main" id="{9B683053-AE61-4783-ACE1-97CB83E064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4380" y="6972300"/>
          <a:ext cx="1148905" cy="1148905"/>
        </a:xfrm>
        <a:prstGeom prst="ellipse">
          <a:avLst/>
        </a:prstGeom>
      </xdr:spPr>
    </xdr:pic>
    <xdr:clientData/>
  </xdr:twoCellAnchor>
  <xdr:twoCellAnchor>
    <xdr:from>
      <xdr:col>1</xdr:col>
      <xdr:colOff>1397317</xdr:colOff>
      <xdr:row>4</xdr:row>
      <xdr:rowOff>45720</xdr:rowOff>
    </xdr:from>
    <xdr:to>
      <xdr:col>1</xdr:col>
      <xdr:colOff>2949892</xdr:colOff>
      <xdr:row>4</xdr:row>
      <xdr:rowOff>1760220</xdr:rowOff>
    </xdr:to>
    <xdr:sp macro="" textlink="">
      <xdr:nvSpPr>
        <xdr:cNvPr id="36" name="テキスト ボックス 35">
          <a:extLst>
            <a:ext uri="{FF2B5EF4-FFF2-40B4-BE49-F238E27FC236}">
              <a16:creationId xmlns:a16="http://schemas.microsoft.com/office/drawing/2014/main" id="{46AD50DC-934A-42CA-96B0-0F18E5612108}"/>
            </a:ext>
          </a:extLst>
        </xdr:cNvPr>
        <xdr:cNvSpPr txBox="1"/>
      </xdr:nvSpPr>
      <xdr:spPr>
        <a:xfrm>
          <a:off x="2083117" y="9189720"/>
          <a:ext cx="1552575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
five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4</xdr:row>
      <xdr:rowOff>1257300</xdr:rowOff>
    </xdr:from>
    <xdr:to>
      <xdr:col>2</xdr:col>
      <xdr:colOff>0</xdr:colOff>
      <xdr:row>5</xdr:row>
      <xdr:rowOff>0</xdr:rowOff>
    </xdr:to>
    <xdr:sp macro="" textlink="">
      <xdr:nvSpPr>
        <xdr:cNvPr id="37" name="テキスト ボックス 36">
          <a:extLst>
            <a:ext uri="{FF2B5EF4-FFF2-40B4-BE49-F238E27FC236}">
              <a16:creationId xmlns:a16="http://schemas.microsoft.com/office/drawing/2014/main" id="{24454326-FAE6-41B2-B303-08986F62A861}"/>
            </a:ext>
          </a:extLst>
        </xdr:cNvPr>
        <xdr:cNvSpPr txBox="1"/>
      </xdr:nvSpPr>
      <xdr:spPr>
        <a:xfrm>
          <a:off x="685800" y="10401300"/>
          <a:ext cx="3105150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68580</xdr:colOff>
      <xdr:row>4</xdr:row>
      <xdr:rowOff>114300</xdr:rowOff>
    </xdr:from>
    <xdr:to>
      <xdr:col>1</xdr:col>
      <xdr:colOff>1217485</xdr:colOff>
      <xdr:row>4</xdr:row>
      <xdr:rowOff>1263205</xdr:rowOff>
    </xdr:to>
    <xdr:pic>
      <xdr:nvPicPr>
        <xdr:cNvPr id="39" name="図 38">
          <a:extLst>
            <a:ext uri="{FF2B5EF4-FFF2-40B4-BE49-F238E27FC236}">
              <a16:creationId xmlns:a16="http://schemas.microsoft.com/office/drawing/2014/main" id="{91435986-77C3-40F1-80AD-BA4CB17210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4380" y="9258300"/>
          <a:ext cx="1148905" cy="1148905"/>
        </a:xfrm>
        <a:prstGeom prst="ellipse">
          <a:avLst/>
        </a:prstGeom>
      </xdr:spPr>
    </xdr:pic>
    <xdr:clientData/>
  </xdr:twoCellAnchor>
  <xdr:twoCellAnchor>
    <xdr:from>
      <xdr:col>1</xdr:col>
      <xdr:colOff>1397317</xdr:colOff>
      <xdr:row>5</xdr:row>
      <xdr:rowOff>45720</xdr:rowOff>
    </xdr:from>
    <xdr:to>
      <xdr:col>1</xdr:col>
      <xdr:colOff>2949892</xdr:colOff>
      <xdr:row>5</xdr:row>
      <xdr:rowOff>1760220</xdr:rowOff>
    </xdr:to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339074F1-20B3-435B-BF70-BBBAB3B305EF}"/>
            </a:ext>
          </a:extLst>
        </xdr:cNvPr>
        <xdr:cNvSpPr txBox="1"/>
      </xdr:nvSpPr>
      <xdr:spPr>
        <a:xfrm>
          <a:off x="2083117" y="11475720"/>
          <a:ext cx="1552575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
six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5</xdr:row>
      <xdr:rowOff>1257300</xdr:rowOff>
    </xdr:from>
    <xdr:to>
      <xdr:col>2</xdr:col>
      <xdr:colOff>0</xdr:colOff>
      <xdr:row>6</xdr:row>
      <xdr:rowOff>0</xdr:rowOff>
    </xdr:to>
    <xdr:sp macro="" textlink="">
      <xdr:nvSpPr>
        <xdr:cNvPr id="41" name="テキスト ボックス 40">
          <a:extLst>
            <a:ext uri="{FF2B5EF4-FFF2-40B4-BE49-F238E27FC236}">
              <a16:creationId xmlns:a16="http://schemas.microsoft.com/office/drawing/2014/main" id="{88EA3E73-296C-48A5-9BBD-18319C7E8C4A}"/>
            </a:ext>
          </a:extLst>
        </xdr:cNvPr>
        <xdr:cNvSpPr txBox="1"/>
      </xdr:nvSpPr>
      <xdr:spPr>
        <a:xfrm>
          <a:off x="685800" y="12687300"/>
          <a:ext cx="3105150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68580</xdr:colOff>
      <xdr:row>5</xdr:row>
      <xdr:rowOff>114300</xdr:rowOff>
    </xdr:from>
    <xdr:to>
      <xdr:col>1</xdr:col>
      <xdr:colOff>1217485</xdr:colOff>
      <xdr:row>5</xdr:row>
      <xdr:rowOff>1263205</xdr:rowOff>
    </xdr:to>
    <xdr:pic>
      <xdr:nvPicPr>
        <xdr:cNvPr id="43" name="図 42">
          <a:extLst>
            <a:ext uri="{FF2B5EF4-FFF2-40B4-BE49-F238E27FC236}">
              <a16:creationId xmlns:a16="http://schemas.microsoft.com/office/drawing/2014/main" id="{4A3BDEA6-2A2D-462B-AB3B-6F6053525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4380" y="11544300"/>
          <a:ext cx="1148905" cy="1148905"/>
        </a:xfrm>
        <a:prstGeom prst="ellipse">
          <a:avLst/>
        </a:prstGeom>
      </xdr:spPr>
    </xdr:pic>
    <xdr:clientData/>
  </xdr:twoCellAnchor>
  <xdr:twoCellAnchor>
    <xdr:from>
      <xdr:col>1</xdr:col>
      <xdr:colOff>1397317</xdr:colOff>
      <xdr:row>6</xdr:row>
      <xdr:rowOff>45720</xdr:rowOff>
    </xdr:from>
    <xdr:to>
      <xdr:col>1</xdr:col>
      <xdr:colOff>2949892</xdr:colOff>
      <xdr:row>6</xdr:row>
      <xdr:rowOff>1760220</xdr:rowOff>
    </xdr:to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1208FC44-EEC9-43E6-AD60-9CAAD35081CD}"/>
            </a:ext>
          </a:extLst>
        </xdr:cNvPr>
        <xdr:cNvSpPr txBox="1"/>
      </xdr:nvSpPr>
      <xdr:spPr>
        <a:xfrm>
          <a:off x="2083117" y="13761720"/>
          <a:ext cx="1552575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
seven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6</xdr:row>
      <xdr:rowOff>1257300</xdr:rowOff>
    </xdr:from>
    <xdr:to>
      <xdr:col>2</xdr:col>
      <xdr:colOff>0</xdr:colOff>
      <xdr:row>7</xdr:row>
      <xdr:rowOff>0</xdr:rowOff>
    </xdr:to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B889B5DE-2DFB-4207-B0BD-48763FF1844F}"/>
            </a:ext>
          </a:extLst>
        </xdr:cNvPr>
        <xdr:cNvSpPr txBox="1"/>
      </xdr:nvSpPr>
      <xdr:spPr>
        <a:xfrm>
          <a:off x="685800" y="14973300"/>
          <a:ext cx="3105150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68580</xdr:colOff>
      <xdr:row>6</xdr:row>
      <xdr:rowOff>114300</xdr:rowOff>
    </xdr:from>
    <xdr:to>
      <xdr:col>1</xdr:col>
      <xdr:colOff>1217485</xdr:colOff>
      <xdr:row>6</xdr:row>
      <xdr:rowOff>1263205</xdr:rowOff>
    </xdr:to>
    <xdr:pic>
      <xdr:nvPicPr>
        <xdr:cNvPr id="47" name="図 46">
          <a:extLst>
            <a:ext uri="{FF2B5EF4-FFF2-40B4-BE49-F238E27FC236}">
              <a16:creationId xmlns:a16="http://schemas.microsoft.com/office/drawing/2014/main" id="{0DADC5CA-B59A-44AB-9747-A06AB042EC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4380" y="13830300"/>
          <a:ext cx="1148905" cy="1148905"/>
        </a:xfrm>
        <a:prstGeom prst="ellipse">
          <a:avLst/>
        </a:prstGeom>
      </xdr:spPr>
    </xdr:pic>
    <xdr:clientData/>
  </xdr:twoCellAnchor>
  <xdr:twoCellAnchor>
    <xdr:from>
      <xdr:col>1</xdr:col>
      <xdr:colOff>1397317</xdr:colOff>
      <xdr:row>7</xdr:row>
      <xdr:rowOff>45720</xdr:rowOff>
    </xdr:from>
    <xdr:to>
      <xdr:col>1</xdr:col>
      <xdr:colOff>2949892</xdr:colOff>
      <xdr:row>7</xdr:row>
      <xdr:rowOff>1760220</xdr:rowOff>
    </xdr:to>
    <xdr:sp macro="" textlink="">
      <xdr:nvSpPr>
        <xdr:cNvPr id="48" name="テキスト ボックス 47">
          <a:extLst>
            <a:ext uri="{FF2B5EF4-FFF2-40B4-BE49-F238E27FC236}">
              <a16:creationId xmlns:a16="http://schemas.microsoft.com/office/drawing/2014/main" id="{892FA1D8-77FF-4AAE-BBE4-6DEF0A9E2306}"/>
            </a:ext>
          </a:extLst>
        </xdr:cNvPr>
        <xdr:cNvSpPr txBox="1"/>
      </xdr:nvSpPr>
      <xdr:spPr>
        <a:xfrm>
          <a:off x="2083117" y="16047720"/>
          <a:ext cx="1552575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
nine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7</xdr:row>
      <xdr:rowOff>1257300</xdr:rowOff>
    </xdr:from>
    <xdr:to>
      <xdr:col>2</xdr:col>
      <xdr:colOff>0</xdr:colOff>
      <xdr:row>8</xdr:row>
      <xdr:rowOff>0</xdr:rowOff>
    </xdr:to>
    <xdr:sp macro="" textlink="">
      <xdr:nvSpPr>
        <xdr:cNvPr id="49" name="テキスト ボックス 48">
          <a:extLst>
            <a:ext uri="{FF2B5EF4-FFF2-40B4-BE49-F238E27FC236}">
              <a16:creationId xmlns:a16="http://schemas.microsoft.com/office/drawing/2014/main" id="{9FCEBB93-32CE-4B35-B5B4-02E20FAB0F21}"/>
            </a:ext>
          </a:extLst>
        </xdr:cNvPr>
        <xdr:cNvSpPr txBox="1"/>
      </xdr:nvSpPr>
      <xdr:spPr>
        <a:xfrm>
          <a:off x="685800" y="17259300"/>
          <a:ext cx="3105150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68580</xdr:colOff>
      <xdr:row>7</xdr:row>
      <xdr:rowOff>114300</xdr:rowOff>
    </xdr:from>
    <xdr:to>
      <xdr:col>1</xdr:col>
      <xdr:colOff>1217485</xdr:colOff>
      <xdr:row>7</xdr:row>
      <xdr:rowOff>1263205</xdr:rowOff>
    </xdr:to>
    <xdr:pic>
      <xdr:nvPicPr>
        <xdr:cNvPr id="51" name="図 50">
          <a:extLst>
            <a:ext uri="{FF2B5EF4-FFF2-40B4-BE49-F238E27FC236}">
              <a16:creationId xmlns:a16="http://schemas.microsoft.com/office/drawing/2014/main" id="{51E05FD9-D978-4FC7-B7FA-CB197ECF77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4380" y="16116300"/>
          <a:ext cx="1148905" cy="1148905"/>
        </a:xfrm>
        <a:prstGeom prst="ellipse">
          <a:avLst/>
        </a:prstGeom>
      </xdr:spPr>
    </xdr:pic>
    <xdr:clientData/>
  </xdr:twoCellAnchor>
  <xdr:twoCellAnchor>
    <xdr:from>
      <xdr:col>1</xdr:col>
      <xdr:colOff>1397317</xdr:colOff>
      <xdr:row>8</xdr:row>
      <xdr:rowOff>45720</xdr:rowOff>
    </xdr:from>
    <xdr:to>
      <xdr:col>1</xdr:col>
      <xdr:colOff>2949892</xdr:colOff>
      <xdr:row>8</xdr:row>
      <xdr:rowOff>1760220</xdr:rowOff>
    </xdr:to>
    <xdr:sp macro="" textlink="">
      <xdr:nvSpPr>
        <xdr:cNvPr id="52" name="テキスト ボックス 51">
          <a:extLst>
            <a:ext uri="{FF2B5EF4-FFF2-40B4-BE49-F238E27FC236}">
              <a16:creationId xmlns:a16="http://schemas.microsoft.com/office/drawing/2014/main" id="{0BCC4C52-BE4C-446C-B9A5-99703004E67C}"/>
            </a:ext>
          </a:extLst>
        </xdr:cNvPr>
        <xdr:cNvSpPr txBox="1"/>
      </xdr:nvSpPr>
      <xdr:spPr>
        <a:xfrm>
          <a:off x="2083117" y="18333720"/>
          <a:ext cx="1552575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
ten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8</xdr:row>
      <xdr:rowOff>1257300</xdr:rowOff>
    </xdr:from>
    <xdr:to>
      <xdr:col>2</xdr:col>
      <xdr:colOff>0</xdr:colOff>
      <xdr:row>9</xdr:row>
      <xdr:rowOff>0</xdr:rowOff>
    </xdr:to>
    <xdr:sp macro="" textlink="">
      <xdr:nvSpPr>
        <xdr:cNvPr id="53" name="テキスト ボックス 52">
          <a:extLst>
            <a:ext uri="{FF2B5EF4-FFF2-40B4-BE49-F238E27FC236}">
              <a16:creationId xmlns:a16="http://schemas.microsoft.com/office/drawing/2014/main" id="{A25932DB-4C04-48F5-A64B-BCDA448FE1A5}"/>
            </a:ext>
          </a:extLst>
        </xdr:cNvPr>
        <xdr:cNvSpPr txBox="1"/>
      </xdr:nvSpPr>
      <xdr:spPr>
        <a:xfrm>
          <a:off x="685800" y="19545300"/>
          <a:ext cx="3105150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68580</xdr:colOff>
      <xdr:row>8</xdr:row>
      <xdr:rowOff>114300</xdr:rowOff>
    </xdr:from>
    <xdr:to>
      <xdr:col>1</xdr:col>
      <xdr:colOff>1217485</xdr:colOff>
      <xdr:row>8</xdr:row>
      <xdr:rowOff>1263205</xdr:rowOff>
    </xdr:to>
    <xdr:pic>
      <xdr:nvPicPr>
        <xdr:cNvPr id="55" name="図 54">
          <a:extLst>
            <a:ext uri="{FF2B5EF4-FFF2-40B4-BE49-F238E27FC236}">
              <a16:creationId xmlns:a16="http://schemas.microsoft.com/office/drawing/2014/main" id="{4FC6F184-D2FC-4381-A3DA-BC28CC24D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4380" y="18402300"/>
          <a:ext cx="1148905" cy="1148905"/>
        </a:xfrm>
        <a:prstGeom prst="ellipse">
          <a:avLst/>
        </a:prstGeom>
      </xdr:spPr>
    </xdr:pic>
    <xdr:clientData/>
  </xdr:twoCellAnchor>
  <xdr:twoCellAnchor>
    <xdr:from>
      <xdr:col>1</xdr:col>
      <xdr:colOff>1397317</xdr:colOff>
      <xdr:row>9</xdr:row>
      <xdr:rowOff>45720</xdr:rowOff>
    </xdr:from>
    <xdr:to>
      <xdr:col>1</xdr:col>
      <xdr:colOff>2949892</xdr:colOff>
      <xdr:row>9</xdr:row>
      <xdr:rowOff>1760220</xdr:rowOff>
    </xdr:to>
    <xdr:sp macro="" textlink="">
      <xdr:nvSpPr>
        <xdr:cNvPr id="56" name="テキスト ボックス 55">
          <a:extLst>
            <a:ext uri="{FF2B5EF4-FFF2-40B4-BE49-F238E27FC236}">
              <a16:creationId xmlns:a16="http://schemas.microsoft.com/office/drawing/2014/main" id="{35EC66B9-5E71-44EE-8D0D-DEEBCB808EF1}"/>
            </a:ext>
          </a:extLst>
        </xdr:cNvPr>
        <xdr:cNvSpPr txBox="1"/>
      </xdr:nvSpPr>
      <xdr:spPr>
        <a:xfrm>
          <a:off x="2083117" y="20619720"/>
          <a:ext cx="1552575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
eleven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9</xdr:row>
      <xdr:rowOff>1257300</xdr:rowOff>
    </xdr:from>
    <xdr:to>
      <xdr:col>2</xdr:col>
      <xdr:colOff>0</xdr:colOff>
      <xdr:row>10</xdr:row>
      <xdr:rowOff>0</xdr:rowOff>
    </xdr:to>
    <xdr:sp macro="" textlink="">
      <xdr:nvSpPr>
        <xdr:cNvPr id="57" name="テキスト ボックス 56">
          <a:extLst>
            <a:ext uri="{FF2B5EF4-FFF2-40B4-BE49-F238E27FC236}">
              <a16:creationId xmlns:a16="http://schemas.microsoft.com/office/drawing/2014/main" id="{0C9E66B3-E08D-4E93-AAB9-9977A93A3E80}"/>
            </a:ext>
          </a:extLst>
        </xdr:cNvPr>
        <xdr:cNvSpPr txBox="1"/>
      </xdr:nvSpPr>
      <xdr:spPr>
        <a:xfrm>
          <a:off x="685800" y="21831300"/>
          <a:ext cx="3105150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68580</xdr:colOff>
      <xdr:row>9</xdr:row>
      <xdr:rowOff>114300</xdr:rowOff>
    </xdr:from>
    <xdr:to>
      <xdr:col>1</xdr:col>
      <xdr:colOff>1217485</xdr:colOff>
      <xdr:row>9</xdr:row>
      <xdr:rowOff>1263205</xdr:rowOff>
    </xdr:to>
    <xdr:pic>
      <xdr:nvPicPr>
        <xdr:cNvPr id="59" name="図 58">
          <a:extLst>
            <a:ext uri="{FF2B5EF4-FFF2-40B4-BE49-F238E27FC236}">
              <a16:creationId xmlns:a16="http://schemas.microsoft.com/office/drawing/2014/main" id="{F0BA8ED9-701E-42B3-9CBF-514A45C0CE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4380" y="20688300"/>
          <a:ext cx="1148905" cy="1148905"/>
        </a:xfrm>
        <a:prstGeom prst="ellipse">
          <a:avLst/>
        </a:prstGeom>
      </xdr:spPr>
    </xdr:pic>
    <xdr:clientData/>
  </xdr:twoCellAnchor>
  <xdr:twoCellAnchor>
    <xdr:from>
      <xdr:col>1</xdr:col>
      <xdr:colOff>1397317</xdr:colOff>
      <xdr:row>10</xdr:row>
      <xdr:rowOff>45720</xdr:rowOff>
    </xdr:from>
    <xdr:to>
      <xdr:col>1</xdr:col>
      <xdr:colOff>2949892</xdr:colOff>
      <xdr:row>10</xdr:row>
      <xdr:rowOff>1760220</xdr:rowOff>
    </xdr:to>
    <xdr:sp macro="" textlink="">
      <xdr:nvSpPr>
        <xdr:cNvPr id="60" name="テキスト ボックス 59">
          <a:extLst>
            <a:ext uri="{FF2B5EF4-FFF2-40B4-BE49-F238E27FC236}">
              <a16:creationId xmlns:a16="http://schemas.microsoft.com/office/drawing/2014/main" id="{95365699-81F5-4E9A-B423-9279A08C5948}"/>
            </a:ext>
          </a:extLst>
        </xdr:cNvPr>
        <xdr:cNvSpPr txBox="1"/>
      </xdr:nvSpPr>
      <xdr:spPr>
        <a:xfrm>
          <a:off x="2083117" y="22905720"/>
          <a:ext cx="1552575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
thirty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10</xdr:row>
      <xdr:rowOff>1257300</xdr:rowOff>
    </xdr:from>
    <xdr:to>
      <xdr:col>2</xdr:col>
      <xdr:colOff>0</xdr:colOff>
      <xdr:row>11</xdr:row>
      <xdr:rowOff>0</xdr:rowOff>
    </xdr:to>
    <xdr:sp macro="" textlink="">
      <xdr:nvSpPr>
        <xdr:cNvPr id="61" name="テキスト ボックス 60">
          <a:extLst>
            <a:ext uri="{FF2B5EF4-FFF2-40B4-BE49-F238E27FC236}">
              <a16:creationId xmlns:a16="http://schemas.microsoft.com/office/drawing/2014/main" id="{021D129C-3FB0-4F8F-8C6F-91DD26575F7B}"/>
            </a:ext>
          </a:extLst>
        </xdr:cNvPr>
        <xdr:cNvSpPr txBox="1"/>
      </xdr:nvSpPr>
      <xdr:spPr>
        <a:xfrm>
          <a:off x="685800" y="24117300"/>
          <a:ext cx="3105150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68580</xdr:colOff>
      <xdr:row>10</xdr:row>
      <xdr:rowOff>114300</xdr:rowOff>
    </xdr:from>
    <xdr:to>
      <xdr:col>1</xdr:col>
      <xdr:colOff>1217485</xdr:colOff>
      <xdr:row>10</xdr:row>
      <xdr:rowOff>1263205</xdr:rowOff>
    </xdr:to>
    <xdr:pic>
      <xdr:nvPicPr>
        <xdr:cNvPr id="63" name="図 62">
          <a:extLst>
            <a:ext uri="{FF2B5EF4-FFF2-40B4-BE49-F238E27FC236}">
              <a16:creationId xmlns:a16="http://schemas.microsoft.com/office/drawing/2014/main" id="{71AFE6A0-DB38-41A1-B3DF-7F3B39AA4B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54380" y="22974300"/>
          <a:ext cx="1148905" cy="1148905"/>
        </a:xfrm>
        <a:prstGeom prst="ellipse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133350</xdr:colOff>
          <xdr:row>23</xdr:row>
          <xdr:rowOff>0</xdr:rowOff>
        </xdr:from>
        <xdr:to>
          <xdr:col>11</xdr:col>
          <xdr:colOff>419100</xdr:colOff>
          <xdr:row>25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profile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361950</xdr:colOff>
          <xdr:row>2</xdr:row>
          <xdr:rowOff>0</xdr:rowOff>
        </xdr:from>
        <xdr:to>
          <xdr:col>5</xdr:col>
          <xdr:colOff>476250</xdr:colOff>
          <xdr:row>4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シフト読み込み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univ_colour">
      <a:dk1>
        <a:sysClr val="windowText" lastClr="000000"/>
      </a:dk1>
      <a:lt1>
        <a:srgbClr val="FF4B00"/>
      </a:lt1>
      <a:dk2>
        <a:srgbClr val="44546A"/>
      </a:dk2>
      <a:lt2>
        <a:srgbClr val="804000"/>
      </a:lt2>
      <a:accent1>
        <a:srgbClr val="005AFF"/>
      </a:accent1>
      <a:accent2>
        <a:srgbClr val="F6AA00"/>
      </a:accent2>
      <a:accent3>
        <a:srgbClr val="A5A5A5"/>
      </a:accent3>
      <a:accent4>
        <a:srgbClr val="FFF100"/>
      </a:accent4>
      <a:accent5>
        <a:srgbClr val="4DC4FF"/>
      </a:accent5>
      <a:accent6>
        <a:srgbClr val="03AF7A"/>
      </a:accent6>
      <a:hlink>
        <a:srgbClr val="FF8082"/>
      </a:hlink>
      <a:folHlink>
        <a:srgbClr val="80009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J26"/>
  <sheetViews>
    <sheetView showGridLines="0" showRowColHeaders="0" tabSelected="1" defaultGridColor="0" colorId="63" zoomScale="90" zoomScaleNormal="90" workbookViewId="0">
      <selection activeCell="G16" sqref="G16"/>
    </sheetView>
  </sheetViews>
  <sheetFormatPr defaultColWidth="8.875" defaultRowHeight="17.649999999999999" x14ac:dyDescent="0.7"/>
  <cols>
    <col min="1" max="1" width="6" customWidth="1"/>
    <col min="2" max="2" width="11.625" customWidth="1"/>
    <col min="3" max="9" width="17.625" customWidth="1"/>
    <col min="10" max="10" width="9.25" customWidth="1"/>
    <col min="11" max="11" width="22.875" customWidth="1"/>
    <col min="12" max="12" width="23.5" customWidth="1"/>
    <col min="13" max="13" width="13.25" customWidth="1"/>
    <col min="14" max="14" width="15.5" customWidth="1"/>
    <col min="27" max="35" width="10.625" customWidth="1"/>
    <col min="36" max="36" width="11.5625" customWidth="1"/>
  </cols>
  <sheetData>
    <row r="1" spans="1:36" ht="30.95" customHeight="1" x14ac:dyDescent="1">
      <c r="B1" s="9"/>
      <c r="C1" s="20"/>
      <c r="K1" s="31" t="s">
        <v>22</v>
      </c>
      <c r="L1" s="32" t="s">
        <v>65</v>
      </c>
    </row>
    <row r="2" spans="1:36" ht="46.9" customHeight="1" x14ac:dyDescent="1.5">
      <c r="A2" s="10"/>
      <c r="B2" s="11"/>
      <c r="C2" s="10"/>
      <c r="D2" s="10"/>
      <c r="E2" s="12"/>
      <c r="F2" s="28" t="s">
        <v>12</v>
      </c>
      <c r="G2" s="12"/>
      <c r="H2" s="12"/>
      <c r="I2" s="12"/>
      <c r="K2" s="49">
        <f ca="1">TODAY()</f>
        <v>43782</v>
      </c>
      <c r="L2" s="50">
        <f ca="1">NOW()-INT(NOW())</f>
        <v>7.5465162037289701E-2</v>
      </c>
      <c r="N2" s="48" t="s">
        <v>85</v>
      </c>
      <c r="U2" s="41"/>
      <c r="AA2" s="38" t="s">
        <v>72</v>
      </c>
      <c r="AB2" s="39"/>
      <c r="AC2" s="35">
        <f ca="1">setting_time(L2)</f>
        <v>0</v>
      </c>
    </row>
    <row r="3" spans="1:36" ht="25.15" customHeight="1" x14ac:dyDescent="0.7">
      <c r="A3" s="10"/>
      <c r="B3" s="14"/>
      <c r="C3" s="15" t="s">
        <v>13</v>
      </c>
      <c r="D3" s="15" t="s">
        <v>14</v>
      </c>
      <c r="E3" s="15" t="s">
        <v>16</v>
      </c>
      <c r="F3" s="15" t="s">
        <v>15</v>
      </c>
      <c r="G3" s="15" t="s">
        <v>17</v>
      </c>
      <c r="H3" s="15" t="s">
        <v>18</v>
      </c>
      <c r="I3" s="15" t="s">
        <v>19</v>
      </c>
      <c r="K3" s="49"/>
      <c r="L3" s="50"/>
      <c r="N3" s="51" t="s">
        <v>86</v>
      </c>
      <c r="O3" s="51"/>
      <c r="P3" s="12"/>
      <c r="Q3" t="s">
        <v>87</v>
      </c>
      <c r="T3" t="s">
        <v>88</v>
      </c>
    </row>
    <row r="4" spans="1:36" ht="70.150000000000006" customHeight="1" x14ac:dyDescent="0.7">
      <c r="A4" s="10"/>
      <c r="B4" s="13">
        <v>1</v>
      </c>
      <c r="C4" s="34" t="str">
        <f ca="1">IF(ISNUMBER(IF(INDEX(生データ!$D:$D,MATCH(D22,生データ!$D:$D,1))=D22,VLOOKUP(D22,生データ!$D:$F,3,TRUE),)),get_view_string(COLUMN(C4)-2)&amp;IF(VLOOKUP(D22,生データ!$D:$F,2,TRUE)=1,CHAR(10)&amp;"(貸出中)",""),IF(INDEX(生データ!$D:$D,MATCH(D22,生データ!$D:$D,1))=D22,VLOOKUP(D22,生データ!$D:$F,3,TRUE),""))</f>
        <v/>
      </c>
      <c r="D4" s="34" t="str">
        <f ca="1">IF(ISNUMBER(IF(INDEX(生データ!$D:$D,MATCH(E22,生データ!$D:$D,1))=E22,VLOOKUP(E22,生データ!$D:$F,3,TRUE),)),get_view_string(COLUMN(D4)-2)&amp;IF(VLOOKUP(E22,生データ!$D:$F,2,TRUE)=1,CHAR(10)&amp;"(貸出中)",""),IF(INDEX(生データ!$D:$D,MATCH(E22,生データ!$D:$D,1))=E22,VLOOKUP(E22,生データ!$D:$F,3,TRUE),""))</f>
        <v/>
      </c>
      <c r="E4" s="34" t="str">
        <f ca="1">IF(ISNUMBER(IF(INDEX(生データ!$D:$D,MATCH(F22,生データ!$D:$D,1))=F22,VLOOKUP(F22,生データ!$D:$F,3,TRUE),)),get_view_string(COLUMN(E4)-2)&amp;IF(VLOOKUP(F22,生データ!$D:$F,2,TRUE)=1,CHAR(10)&amp;"(貸出中)",""),IF(INDEX(生データ!$D:$D,MATCH(F22,生データ!$D:$D,1))=F22,VLOOKUP(F22,生データ!$D:$F,3,TRUE),""))</f>
        <v/>
      </c>
      <c r="F4" s="34" t="str">
        <f ca="1">IF(ISNUMBER(IF(INDEX(生データ!$D:$D,MATCH(G22,生データ!$D:$D,1))=G22,VLOOKUP(G22,生データ!$D:$F,3,TRUE),)),get_view_string(COLUMN(F4)-2)&amp;IF(VLOOKUP(G22,生データ!$D:$F,2,TRUE)=1,CHAR(10)&amp;"(貸出中)",""),IF(INDEX(生データ!$D:$D,MATCH(G22,生データ!$D:$D,1))=G22,VLOOKUP(G22,生データ!$D:$F,3,TRUE),""))</f>
        <v/>
      </c>
      <c r="G4" s="34" t="str">
        <f ca="1">IF(ISNUMBER(IF(INDEX(生データ!$D:$D,MATCH(H22,生データ!$D:$D,1))=H22,VLOOKUP(H22,生データ!$D:$F,3,TRUE),)),get_view_string(COLUMN(G4)-2)&amp;IF(VLOOKUP(H22,生データ!$D:$F,2,TRUE)=1,CHAR(10)&amp;"(貸出中)",""),IF(INDEX(生データ!$D:$D,MATCH(H22,生データ!$D:$D,1))=H22,VLOOKUP(H22,生データ!$D:$F,3,TRUE),""))</f>
        <v/>
      </c>
      <c r="H4" s="34" t="str">
        <f ca="1">IF(ISNUMBER(IF(INDEX(生データ!$D:$D,MATCH(I22,生データ!$D:$D,1))=I22,VLOOKUP(I22,生データ!$D:$F,3,TRUE),)),get_view_string(COLUMN(H4)-2)&amp;IF(VLOOKUP(I22,生データ!$D:$F,2,TRUE)=1,CHAR(10)&amp;"(貸出中)",""),IF(INDEX(生データ!$D:$D,MATCH(I22,生データ!$D:$D,1))=I22,VLOOKUP(I22,生データ!$D:$F,3,TRUE),""))</f>
        <v/>
      </c>
      <c r="I4" s="34" t="str">
        <f ca="1">IF(ISNUMBER(IF(INDEX(生データ!$D:$D,MATCH(J22,生データ!$D:$D,1))=J22,VLOOKUP(J22,生データ!$D:$F,3,TRUE),)),get_view_string(COLUMN(I4)-2)&amp;IF(VLOOKUP(J22,生データ!$D:$F,2,TRUE)=1,CHAR(10)&amp;"(貸出中)",""),IF(INDEX(生データ!$D:$D,MATCH(J22,生データ!$D:$D,1))=J22,VLOOKUP(J22,生データ!$D:$F,3,TRUE),""))</f>
        <v/>
      </c>
      <c r="K4" s="12"/>
      <c r="L4" s="12"/>
      <c r="M4" s="30"/>
      <c r="N4" s="30"/>
      <c r="T4" s="35" t="s">
        <v>64</v>
      </c>
      <c r="U4" s="38"/>
      <c r="V4" s="39"/>
      <c r="W4" s="39"/>
      <c r="X4" s="40"/>
      <c r="Z4" s="38" t="s">
        <v>73</v>
      </c>
      <c r="AA4" s="39"/>
      <c r="AB4" s="39" t="s">
        <v>74</v>
      </c>
      <c r="AC4" s="39"/>
      <c r="AD4" s="39"/>
      <c r="AE4" s="35">
        <f ca="1">AC2</f>
        <v>0</v>
      </c>
    </row>
    <row r="5" spans="1:36" ht="70.150000000000006" customHeight="1" x14ac:dyDescent="0.7">
      <c r="A5" s="27"/>
      <c r="B5" s="13">
        <v>2</v>
      </c>
      <c r="C5" s="34" t="str">
        <f ca="1">IF(ISNUMBER(IF(INDEX(生データ!$D:$D,MATCH(D23,生データ!$D:$D,1))=D23,VLOOKUP(D23,生データ!$D:$F,3,TRUE),)),get_view_string(COLUMN(C5)-2)&amp;IF(VLOOKUP(D23,生データ!$D:$F,2,TRUE)=1,CHAR(10)&amp;"(貸出中)",""),IF(INDEX(生データ!$D:$D,MATCH(D23,生データ!$D:$D,1))=D23,VLOOKUP(D23,生データ!$D:$F,3,TRUE),""))</f>
        <v/>
      </c>
      <c r="D5" s="34" t="str">
        <f ca="1">IF(ISNUMBER(IF(INDEX(生データ!$D:$D,MATCH(E23,生データ!$D:$D,1))=E23,VLOOKUP(E23,生データ!$D:$F,3,TRUE),)),get_view_string(COLUMN(D5)-2)&amp;IF(VLOOKUP(E23,生データ!$D:$F,2,TRUE)=1,CHAR(10)&amp;"(貸出中)",""),IF(INDEX(生データ!$D:$D,MATCH(E23,生データ!$D:$D,1))=E23,VLOOKUP(E23,生データ!$D:$F,3,TRUE),""))</f>
        <v/>
      </c>
      <c r="E5" s="34" t="str">
        <f ca="1">IF(ISNUMBER(IF(INDEX(生データ!$D:$D,MATCH(F23,生データ!$D:$D,1))=F23,VLOOKUP(F23,生データ!$D:$F,3,TRUE),)),get_view_string(COLUMN(E5)-2)&amp;IF(VLOOKUP(F23,生データ!$D:$F,2,TRUE)=1,CHAR(10)&amp;"(貸出中)",""),IF(INDEX(生データ!$D:$D,MATCH(F23,生データ!$D:$D,1))=F23,VLOOKUP(F23,生データ!$D:$F,3,TRUE),""))</f>
        <v/>
      </c>
      <c r="F5" s="34" t="str">
        <f ca="1">IF(ISNUMBER(IF(INDEX(生データ!$D:$D,MATCH(G23,生データ!$D:$D,1))=G23,VLOOKUP(G23,生データ!$D:$F,3,TRUE),)),get_view_string(COLUMN(F5)-2)&amp;IF(VLOOKUP(G23,生データ!$D:$F,2,TRUE)=1,CHAR(10)&amp;"(貸出中)",""),IF(INDEX(生データ!$D:$D,MATCH(G23,生データ!$D:$D,1))=G23,VLOOKUP(G23,生データ!$D:$F,3,TRUE),""))</f>
        <v/>
      </c>
      <c r="G5" s="34" t="str">
        <f ca="1">IF(ISNUMBER(IF(INDEX(生データ!$D:$D,MATCH(H23,生データ!$D:$D,1))=H23,VLOOKUP(H23,生データ!$D:$F,3,TRUE),)),get_view_string(COLUMN(G5)-2)&amp;IF(VLOOKUP(H23,生データ!$D:$F,2,TRUE)=1,CHAR(10)&amp;"(貸出中)",""),IF(INDEX(生データ!$D:$D,MATCH(H23,生データ!$D:$D,1))=H23,VLOOKUP(H23,生データ!$D:$F,3,TRUE),""))</f>
        <v/>
      </c>
      <c r="H5" s="34" t="str">
        <f ca="1">IF(ISNUMBER(IF(INDEX(生データ!$D:$D,MATCH(I23,生データ!$D:$D,1))=I23,VLOOKUP(I23,生データ!$D:$F,3,TRUE),)),get_view_string(COLUMN(H5)-2)&amp;IF(VLOOKUP(I23,生データ!$D:$F,2,TRUE)=1,CHAR(10)&amp;"(貸出中)",""),IF(INDEX(生データ!$D:$D,MATCH(I23,生データ!$D:$D,1))=I23,VLOOKUP(I23,生データ!$D:$F,3,TRUE),""))</f>
        <v/>
      </c>
      <c r="I5" s="34" t="str">
        <f ca="1">IF(ISNUMBER(IF(INDEX(生データ!$D:$D,MATCH(J23,生データ!$D:$D,1))=J23,VLOOKUP(J23,生データ!$D:$F,3,TRUE),)),get_view_string(COLUMN(I5)-2)&amp;IF(VLOOKUP(J23,生データ!$D:$F,2,TRUE)=1,CHAR(10)&amp;"(貸出中)",""),IF(INDEX(生データ!$D:$D,MATCH(J23,生データ!$D:$D,1))=J23,VLOOKUP(J23,生データ!$D:$F,3,TRUE),""))</f>
        <v/>
      </c>
      <c r="K5" s="12"/>
      <c r="L5" s="12"/>
      <c r="M5" s="30"/>
      <c r="N5" s="30"/>
      <c r="T5" s="35" t="s">
        <v>64</v>
      </c>
      <c r="U5" s="38"/>
      <c r="V5" s="39"/>
      <c r="W5" s="39"/>
      <c r="X5" s="40"/>
      <c r="Z5" s="35" t="s">
        <v>69</v>
      </c>
      <c r="AA5" s="35" t="s">
        <v>75</v>
      </c>
      <c r="AB5" s="35" t="s">
        <v>76</v>
      </c>
      <c r="AC5" s="35" t="s">
        <v>77</v>
      </c>
      <c r="AD5" s="35" t="s">
        <v>78</v>
      </c>
      <c r="AE5" s="35" t="s">
        <v>79</v>
      </c>
      <c r="AF5" s="35" t="s">
        <v>80</v>
      </c>
      <c r="AG5" s="35" t="s">
        <v>81</v>
      </c>
      <c r="AH5" s="35" t="s">
        <v>82</v>
      </c>
      <c r="AI5" s="35" t="s">
        <v>83</v>
      </c>
      <c r="AJ5" s="35" t="s">
        <v>84</v>
      </c>
    </row>
    <row r="6" spans="1:36" ht="70.150000000000006" customHeight="1" x14ac:dyDescent="0.7">
      <c r="A6" s="27"/>
      <c r="B6" s="13">
        <v>3</v>
      </c>
      <c r="C6" s="34" t="str">
        <f ca="1">IF(ISNUMBER(IF(INDEX(生データ!$D:$D,MATCH(D24,生データ!$D:$D,1))=D24,VLOOKUP(D24,生データ!$D:$F,3,TRUE),)),get_view_string(COLUMN(C6)-2)&amp;IF(VLOOKUP(D24,生データ!$D:$F,2,TRUE)=1,CHAR(10)&amp;"(貸出中)",""),IF(INDEX(生データ!$D:$D,MATCH(D24,生データ!$D:$D,1))=D24,VLOOKUP(D24,生データ!$D:$F,3,TRUE),""))</f>
        <v/>
      </c>
      <c r="D6" s="34" t="str">
        <f ca="1">IF(ISNUMBER(IF(INDEX(生データ!$D:$D,MATCH(E24,生データ!$D:$D,1))=E24,VLOOKUP(E24,生データ!$D:$F,3,TRUE),)),get_view_string(COLUMN(D6)-2)&amp;IF(VLOOKUP(E24,生データ!$D:$F,2,TRUE)=1,CHAR(10)&amp;"(貸出中)",""),IF(INDEX(生データ!$D:$D,MATCH(E24,生データ!$D:$D,1))=E24,VLOOKUP(E24,生データ!$D:$F,3,TRUE),""))</f>
        <v/>
      </c>
      <c r="E6" s="34" t="str">
        <f ca="1">IF(ISNUMBER(IF(INDEX(生データ!$D:$D,MATCH(F24,生データ!$D:$D,1))=F24,VLOOKUP(F24,生データ!$D:$F,3,TRUE),)),get_view_string(COLUMN(E6)-2)&amp;IF(VLOOKUP(F24,生データ!$D:$F,2,TRUE)=1,CHAR(10)&amp;"(貸出中)",""),IF(INDEX(生データ!$D:$D,MATCH(F24,生データ!$D:$D,1))=F24,VLOOKUP(F24,生データ!$D:$F,3,TRUE),""))</f>
        <v/>
      </c>
      <c r="F6" s="34" t="str">
        <f ca="1">IF(ISNUMBER(IF(INDEX(生データ!$D:$D,MATCH(G24,生データ!$D:$D,1))=G24,VLOOKUP(G24,生データ!$D:$F,3,TRUE),)),get_view_string(COLUMN(F6)-2)&amp;IF(VLOOKUP(G24,生データ!$D:$F,2,TRUE)=1,CHAR(10)&amp;"(貸出中)",""),IF(INDEX(生データ!$D:$D,MATCH(G24,生データ!$D:$D,1))=G24,VLOOKUP(G24,生データ!$D:$F,3,TRUE),""))</f>
        <v/>
      </c>
      <c r="G6" s="34" t="str">
        <f ca="1">IF(ISNUMBER(IF(INDEX(生データ!$D:$D,MATCH(H24,生データ!$D:$D,1))=H24,VLOOKUP(H24,生データ!$D:$F,3,TRUE),)),get_view_string(COLUMN(G6)-2)&amp;IF(VLOOKUP(H24,生データ!$D:$F,2,TRUE)=1,CHAR(10)&amp;"(貸出中)",""),IF(INDEX(生データ!$D:$D,MATCH(H24,生データ!$D:$D,1))=H24,VLOOKUP(H24,生データ!$D:$F,3,TRUE),""))</f>
        <v/>
      </c>
      <c r="H6" s="34" t="str">
        <f ca="1">IF(ISNUMBER(IF(INDEX(生データ!$D:$D,MATCH(I24,生データ!$D:$D,1))=I24,VLOOKUP(I24,生データ!$D:$F,3,TRUE),)),get_view_string(COLUMN(H6)-2)&amp;IF(VLOOKUP(I24,生データ!$D:$F,2,TRUE)=1,CHAR(10)&amp;"(貸出中)",""),IF(INDEX(生データ!$D:$D,MATCH(I24,生データ!$D:$D,1))=I24,VLOOKUP(I24,生データ!$D:$F,3,TRUE),""))</f>
        <v/>
      </c>
      <c r="I6" s="34" t="str">
        <f ca="1">IF(ISNUMBER(IF(INDEX(生データ!$D:$D,MATCH(J24,生データ!$D:$D,1))=J24,VLOOKUP(J24,生データ!$D:$F,3,TRUE),)),get_view_string(COLUMN(I6)-2)&amp;IF(VLOOKUP(J24,生データ!$D:$F,2,TRUE)=1,CHAR(10)&amp;"(貸出中)",""),IF(INDEX(生データ!$D:$D,MATCH(J24,生データ!$D:$D,1))=J24,VLOOKUP(J24,生データ!$D:$F,3,TRUE),""))</f>
        <v/>
      </c>
      <c r="K6" s="29"/>
      <c r="L6" s="29"/>
      <c r="T6" s="36" t="s">
        <v>71</v>
      </c>
      <c r="Z6" s="35">
        <v>1</v>
      </c>
      <c r="AA6" s="35" t="str">
        <f ca="1">IFERROR(IF(INDEX(生データ!$D:$D,MATCH(OFFSET($D$22,$Z6-1,$AE$4-1),生データ!$D:$D,1))=OFFSET($D$22,$Z6-1,$AE$4-1),VLOOKUP(OFFSET($D$22,$Z6-1,$AE$4-1),生データ!$D:$O,COLUMN(C1),TRUE),""),"")</f>
        <v/>
      </c>
      <c r="AB6" s="35" t="str">
        <f ca="1">IFERROR(IF(INDEX(生データ!$D:$D,MATCH(OFFSET($D$22,$Z6-1,$AE$4-1),生データ!$D:$D,1))=OFFSET($D$22,$Z6-1,$AE$4-1),VLOOKUP(OFFSET($D$22,$Z6-1,$AE$4-1),生データ!$D:$O,COLUMN(D1),TRUE),""),"")</f>
        <v/>
      </c>
      <c r="AC6" s="35" t="str">
        <f ca="1">IFERROR(IF(INDEX(生データ!$D:$D,MATCH(OFFSET($D$22,$Z6-1,$AE$4-1),生データ!$D:$D,1))=OFFSET($D$22,$Z6-1,$AE$4-1),VLOOKUP(OFFSET($D$22,$Z6-1,$AE$4-1),生データ!$D:$O,COLUMN(E1),TRUE),""),"")</f>
        <v/>
      </c>
      <c r="AD6" s="35" t="str">
        <f ca="1">IFERROR(IF(INDEX(生データ!$D:$D,MATCH(OFFSET($D$22,$Z6-1,$AE$4-1),生データ!$D:$D,1))=OFFSET($D$22,$Z6-1,$AE$4-1),VLOOKUP(OFFSET($D$22,$Z6-1,$AE$4-1),生データ!$D:$O,COLUMN(F1),TRUE),""),"")</f>
        <v/>
      </c>
      <c r="AE6" s="35" t="str">
        <f ca="1">IFERROR(IF(INDEX(生データ!$D:$D,MATCH(OFFSET($D$22,$Z6-1,$AE$4-1),生データ!$D:$D,1))=OFFSET($D$22,$Z6-1,$AE$4-1),VLOOKUP(OFFSET($D$22,$Z6-1,$AE$4-1),生データ!$D:$O,COLUMN(G1),TRUE),""),"")</f>
        <v/>
      </c>
      <c r="AF6" s="35" t="str">
        <f ca="1">IFERROR(IF(INDEX(生データ!$D:$D,MATCH(OFFSET($D$22,$Z6-1,$AE$4-1),生データ!$D:$D,1))=OFFSET($D$22,$Z6-1,$AE$4-1),VLOOKUP(OFFSET($D$22,$Z6-1,$AE$4-1),生データ!$D:$O,COLUMN(H1),TRUE),""),"")</f>
        <v/>
      </c>
      <c r="AG6" s="35" t="str">
        <f ca="1">IFERROR(IF(INDEX(生データ!$D:$D,MATCH(OFFSET($D$22,$Z6-1,$AE$4-1),生データ!$D:$D,1))=OFFSET($D$22,$Z6-1,$AE$4-1),VLOOKUP(OFFSET($D$22,$Z6-1,$AE$4-1),生データ!$D:$O,COLUMN(I1),TRUE),""),"")</f>
        <v/>
      </c>
      <c r="AH6" s="35" t="str">
        <f ca="1">IFERROR(IF(INDEX(生データ!$D:$D,MATCH(OFFSET($D$22,$Z6-1,$AE$4-1),生データ!$D:$D,1))=OFFSET($D$22,$Z6-1,$AE$4-1),VLOOKUP(OFFSET($D$22,$Z6-1,$AE$4-1),生データ!$D:$O,COLUMN(J1),TRUE),""),"")</f>
        <v/>
      </c>
      <c r="AI6" s="35" t="str">
        <f ca="1">IFERROR(IF(INDEX(生データ!$D:$D,MATCH(OFFSET($D$22,$Z6-1,$AE$4-1),生データ!$D:$D,1))=OFFSET($D$22,$Z6-1,$AE$4-1),VLOOKUP(OFFSET($D$22,$Z6-1,$AE$4-1),生データ!$D:$O,COLUMN(K1),TRUE),""),"")</f>
        <v/>
      </c>
      <c r="AJ6" s="35" t="str">
        <f ca="1">IFERROR(IF(INDEX(生データ!$D:$D,MATCH(OFFSET($D$22,$Z6-1,$AE$4-1),生データ!$D:$D,1))=OFFSET($D$22,$Z6-1,$AE$4-1),VLOOKUP(OFFSET($D$22,$Z6-1,$AE$4-1),生データ!$D:$O,COLUMN(L1),TRUE),""),"")</f>
        <v/>
      </c>
    </row>
    <row r="7" spans="1:36" ht="70.150000000000006" customHeight="1" x14ac:dyDescent="0.7">
      <c r="A7" s="27"/>
      <c r="B7" s="13">
        <v>4</v>
      </c>
      <c r="C7" s="34" t="str">
        <f ca="1">IF(ISNUMBER(IF(INDEX(生データ!$D:$D,MATCH(D25,生データ!$D:$D,1))=D25,VLOOKUP(D25,生データ!$D:$F,3,TRUE),)),get_view_string(COLUMN(C7)-2)&amp;IF(VLOOKUP(D25,生データ!$D:$F,2,TRUE)=1,CHAR(10)&amp;"(貸出中)",""),IF(INDEX(生データ!$D:$D,MATCH(D25,生データ!$D:$D,1))=D25,VLOOKUP(D25,生データ!$D:$F,3,TRUE),""))</f>
        <v/>
      </c>
      <c r="D7" s="34" t="str">
        <f ca="1">IF(ISNUMBER(IF(INDEX(生データ!$D:$D,MATCH(E25,生データ!$D:$D,1))=E25,VLOOKUP(E25,生データ!$D:$F,3,TRUE),)),get_view_string(COLUMN(D7)-2)&amp;IF(VLOOKUP(E25,生データ!$D:$F,2,TRUE)=1,CHAR(10)&amp;"(貸出中)",""),IF(INDEX(生データ!$D:$D,MATCH(E25,生データ!$D:$D,1))=E25,VLOOKUP(E25,生データ!$D:$F,3,TRUE),""))</f>
        <v/>
      </c>
      <c r="E7" s="34" t="str">
        <f ca="1">IF(ISNUMBER(IF(INDEX(生データ!$D:$D,MATCH(F25,生データ!$D:$D,1))=F25,VLOOKUP(F25,生データ!$D:$F,3,TRUE),)),get_view_string(COLUMN(E7)-2)&amp;IF(VLOOKUP(F25,生データ!$D:$F,2,TRUE)=1,CHAR(10)&amp;"(貸出中)",""),IF(INDEX(生データ!$D:$D,MATCH(F25,生データ!$D:$D,1))=F25,VLOOKUP(F25,生データ!$D:$F,3,TRUE),""))</f>
        <v/>
      </c>
      <c r="F7" s="34" t="str">
        <f ca="1">IF(ISNUMBER(IF(INDEX(生データ!$D:$D,MATCH(G25,生データ!$D:$D,1))=G25,VLOOKUP(G25,生データ!$D:$F,3,TRUE),)),get_view_string(COLUMN(F7)-2)&amp;IF(VLOOKUP(G25,生データ!$D:$F,2,TRUE)=1,CHAR(10)&amp;"(貸出中)",""),IF(INDEX(生データ!$D:$D,MATCH(G25,生データ!$D:$D,1))=G25,VLOOKUP(G25,生データ!$D:$F,3,TRUE),""))</f>
        <v/>
      </c>
      <c r="G7" s="34" t="str">
        <f ca="1">IF(ISNUMBER(IF(INDEX(生データ!$D:$D,MATCH(H25,生データ!$D:$D,1))=H25,VLOOKUP(H25,生データ!$D:$F,3,TRUE),)),get_view_string(COLUMN(G7)-2)&amp;IF(VLOOKUP(H25,生データ!$D:$F,2,TRUE)=1,CHAR(10)&amp;"(貸出中)",""),IF(INDEX(生データ!$D:$D,MATCH(H25,生データ!$D:$D,1))=H25,VLOOKUP(H25,生データ!$D:$F,3,TRUE),""))</f>
        <v/>
      </c>
      <c r="H7" s="34" t="str">
        <f ca="1">IF(ISNUMBER(IF(INDEX(生データ!$D:$D,MATCH(I25,生データ!$D:$D,1))=I25,VLOOKUP(I25,生データ!$D:$F,3,TRUE),)),get_view_string(COLUMN(H7)-2)&amp;IF(VLOOKUP(I25,生データ!$D:$F,2,TRUE)=1,CHAR(10)&amp;"(貸出中)",""),IF(INDEX(生データ!$D:$D,MATCH(I25,生データ!$D:$D,1))=I25,VLOOKUP(I25,生データ!$D:$F,3,TRUE),""))</f>
        <v/>
      </c>
      <c r="I7" s="34" t="str">
        <f ca="1">IF(ISNUMBER(IF(INDEX(生データ!$D:$D,MATCH(J25,生データ!$D:$D,1))=J25,VLOOKUP(J25,生データ!$D:$F,3,TRUE),)),get_view_string(COLUMN(I7)-2)&amp;IF(VLOOKUP(J25,生データ!$D:$F,2,TRUE)=1,CHAR(10)&amp;"(貸出中)",""),IF(INDEX(生データ!$D:$D,MATCH(J25,生データ!$D:$D,1))=J25,VLOOKUP(J25,生データ!$D:$F,3,TRUE),""))</f>
        <v/>
      </c>
      <c r="K7" s="29"/>
      <c r="L7" s="29"/>
      <c r="T7" s="35">
        <v>7</v>
      </c>
      <c r="U7" s="35"/>
      <c r="V7" s="35"/>
      <c r="W7" s="35"/>
      <c r="X7" s="35"/>
      <c r="Z7" s="35"/>
      <c r="AA7" s="35" t="str">
        <f ca="1">IFERROR(IF(INDEX(生データ!$D:$D,MATCH(OFFSET($D$22,$Z7-1,$AE$4-1),生データ!$D:$D,1))=OFFSET($D$22,$Z7-1,$AE$4-1),VLOOKUP(OFFSET($D$22,$Z7-1,$AE$4-1),生データ!$D:$O,COLUMN(C2),TRUE),""),"")</f>
        <v/>
      </c>
      <c r="AB7" s="35" t="str">
        <f ca="1">IFERROR(IF(INDEX(生データ!$D:$D,MATCH(OFFSET($D$22,$Z7-1,$AE$4-1),生データ!$D:$D,1))=OFFSET($D$22,$Z7-1,$AE$4-1),VLOOKUP(OFFSET($D$22,$Z7-1,$AE$4-1),生データ!$D:$O,COLUMN(D2),TRUE),""),"")</f>
        <v/>
      </c>
      <c r="AC7" s="35" t="str">
        <f ca="1">IFERROR(IF(INDEX(生データ!$D:$D,MATCH(OFFSET($D$22,$Z7-1,$AE$4-1),生データ!$D:$D,1))=OFFSET($D$22,$Z7-1,$AE$4-1),VLOOKUP(OFFSET($D$22,$Z7-1,$AE$4-1),生データ!$D:$O,COLUMN(E2),TRUE),""),"")</f>
        <v/>
      </c>
      <c r="AD7" s="35" t="str">
        <f ca="1">IFERROR(IF(INDEX(生データ!$D:$D,MATCH(OFFSET($D$22,$Z7-1,$AE$4-1),生データ!$D:$D,1))=OFFSET($D$22,$Z7-1,$AE$4-1),VLOOKUP(OFFSET($D$22,$Z7-1,$AE$4-1),生データ!$D:$O,COLUMN(F2),TRUE),""),"")</f>
        <v/>
      </c>
      <c r="AE7" s="35" t="str">
        <f ca="1">IFERROR(IF(INDEX(生データ!$D:$D,MATCH(OFFSET($D$22,$Z7-1,$AE$4-1),生データ!$D:$D,1))=OFFSET($D$22,$Z7-1,$AE$4-1),VLOOKUP(OFFSET($D$22,$Z7-1,$AE$4-1),生データ!$D:$O,COLUMN(G2),TRUE),""),"")</f>
        <v/>
      </c>
      <c r="AF7" s="35" t="str">
        <f ca="1">IFERROR(IF(INDEX(生データ!$D:$D,MATCH(OFFSET($D$22,$Z7-1,$AE$4-1),生データ!$D:$D,1))=OFFSET($D$22,$Z7-1,$AE$4-1),VLOOKUP(OFFSET($D$22,$Z7-1,$AE$4-1),生データ!$D:$O,COLUMN(H2),TRUE),""),"")</f>
        <v/>
      </c>
      <c r="AG7" s="35" t="str">
        <f ca="1">IFERROR(IF(INDEX(生データ!$D:$D,MATCH(OFFSET($D$22,$Z7-1,$AE$4-1),生データ!$D:$D,1))=OFFSET($D$22,$Z7-1,$AE$4-1),VLOOKUP(OFFSET($D$22,$Z7-1,$AE$4-1),生データ!$D:$O,COLUMN(I2),TRUE),""),"")</f>
        <v/>
      </c>
      <c r="AH7" s="35" t="str">
        <f ca="1">IFERROR(IF(INDEX(生データ!$D:$D,MATCH(OFFSET($D$22,$Z7-1,$AE$4-1),生データ!$D:$D,1))=OFFSET($D$22,$Z7-1,$AE$4-1),VLOOKUP(OFFSET($D$22,$Z7-1,$AE$4-1),生データ!$D:$O,COLUMN(J2),TRUE),""),"")</f>
        <v/>
      </c>
      <c r="AI7" s="35" t="str">
        <f ca="1">IFERROR(IF(INDEX(生データ!$D:$D,MATCH(OFFSET($D$22,$Z7-1,$AE$4-1),生データ!$D:$D,1))=OFFSET($D$22,$Z7-1,$AE$4-1),VLOOKUP(OFFSET($D$22,$Z7-1,$AE$4-1),生データ!$D:$O,COLUMN(K2),TRUE),""),"")</f>
        <v/>
      </c>
      <c r="AJ7" s="35" t="str">
        <f ca="1">IFERROR(IF(INDEX(生データ!$D:$D,MATCH(OFFSET($D$22,$Z7-1,$AE$4-1),生データ!$D:$D,1))=OFFSET($D$22,$Z7-1,$AE$4-1),VLOOKUP(OFFSET($D$22,$Z7-1,$AE$4-1),生データ!$D:$O,COLUMN(L2),TRUE),""),"")</f>
        <v/>
      </c>
    </row>
    <row r="8" spans="1:36" ht="70.150000000000006" customHeight="1" x14ac:dyDescent="0.7">
      <c r="A8" s="12"/>
      <c r="B8" s="13">
        <v>5</v>
      </c>
      <c r="C8" s="34" t="str">
        <f ca="1">IF(ISNUMBER(IF(INDEX(生データ!$D:$D,MATCH(D26,生データ!$D:$D,1))=D26,VLOOKUP(D26,生データ!$D:$F,3,TRUE),)),get_view_string(COLUMN(C8)-2)&amp;IF(VLOOKUP(D26,生データ!$D:$F,2,TRUE)=1,CHAR(10)&amp;"(貸出中)",""),IF(INDEX(生データ!$D:$D,MATCH(D26,生データ!$D:$D,1))=D26,VLOOKUP(D26,生データ!$D:$F,3,TRUE),""))</f>
        <v/>
      </c>
      <c r="D8" s="34" t="str">
        <f ca="1">IF(ISNUMBER(IF(INDEX(生データ!$D:$D,MATCH(E26,生データ!$D:$D,1))=E26,VLOOKUP(E26,生データ!$D:$F,3,TRUE),)),get_view_string(COLUMN(D8)-2)&amp;IF(VLOOKUP(E26,生データ!$D:$F,2,TRUE)=1,CHAR(10)&amp;"(貸出中)",""),IF(INDEX(生データ!$D:$D,MATCH(E26,生データ!$D:$D,1))=E26,VLOOKUP(E26,生データ!$D:$F,3,TRUE),""))</f>
        <v/>
      </c>
      <c r="E8" s="34" t="str">
        <f ca="1">IF(ISNUMBER(IF(INDEX(生データ!$D:$D,MATCH(F26,生データ!$D:$D,1))=F26,VLOOKUP(F26,生データ!$D:$F,3,TRUE),)),get_view_string(COLUMN(E8)-2)&amp;IF(VLOOKUP(F26,生データ!$D:$F,2,TRUE)=1,CHAR(10)&amp;"(貸出中)",""),IF(INDEX(生データ!$D:$D,MATCH(F26,生データ!$D:$D,1))=F26,VLOOKUP(F26,生データ!$D:$F,3,TRUE),""))</f>
        <v/>
      </c>
      <c r="F8" s="34" t="str">
        <f ca="1">IF(ISNUMBER(IF(INDEX(生データ!$D:$D,MATCH(G26,生データ!$D:$D,1))=G26,VLOOKUP(G26,生データ!$D:$F,3,TRUE),)),get_view_string(COLUMN(F8)-2)&amp;IF(VLOOKUP(G26,生データ!$D:$F,2,TRUE)=1,CHAR(10)&amp;"(貸出中)",""),IF(INDEX(生データ!$D:$D,MATCH(G26,生データ!$D:$D,1))=G26,VLOOKUP(G26,生データ!$D:$F,3,TRUE),""))</f>
        <v/>
      </c>
      <c r="G8" s="34" t="str">
        <f ca="1">IF(ISNUMBER(IF(INDEX(生データ!$D:$D,MATCH(H26,生データ!$D:$D,1))=H26,VLOOKUP(H26,生データ!$D:$F,3,TRUE),)),get_view_string(COLUMN(G8)-2)&amp;IF(VLOOKUP(H26,生データ!$D:$F,2,TRUE)=1,CHAR(10)&amp;"(貸出中)",""),IF(INDEX(生データ!$D:$D,MATCH(H26,生データ!$D:$D,1))=H26,VLOOKUP(H26,生データ!$D:$F,3,TRUE),""))</f>
        <v/>
      </c>
      <c r="H8" s="34" t="str">
        <f ca="1">IF(ISNUMBER(IF(INDEX(生データ!$D:$D,MATCH(I26,生データ!$D:$D,1))=I26,VLOOKUP(I26,生データ!$D:$F,3,TRUE),)),get_view_string(COLUMN(H8)-2)&amp;IF(VLOOKUP(I26,生データ!$D:$F,2,TRUE)=1,CHAR(10)&amp;"(貸出中)",""),IF(INDEX(生データ!$D:$D,MATCH(I26,生データ!$D:$D,1))=I26,VLOOKUP(I26,生データ!$D:$F,3,TRUE),""))</f>
        <v/>
      </c>
      <c r="I8" s="34" t="str">
        <f ca="1">IF(ISNUMBER(IF(INDEX(生データ!$D:$D,MATCH(J26,生データ!$D:$D,1))=J26,VLOOKUP(J26,生データ!$D:$F,3,TRUE),)),get_view_string(COLUMN(I8)-2)&amp;IF(VLOOKUP(J26,生データ!$D:$F,2,TRUE)=1,CHAR(10)&amp;"(貸出中)",""),IF(INDEX(生データ!$D:$D,MATCH(J26,生データ!$D:$D,1))=J26,VLOOKUP(J26,生データ!$D:$F,3,TRUE),""))</f>
        <v/>
      </c>
      <c r="Z8" s="35">
        <v>3</v>
      </c>
      <c r="AA8" s="35" t="str">
        <f ca="1">IFERROR(IF(INDEX(生データ!$D:$D,MATCH(OFFSET($D$22,$Z8-1,$AE$4-1),生データ!$D:$D,1))=OFFSET($D$22,$Z8-1,$AE$4-1),VLOOKUP(OFFSET($D$22,$Z8-1,$AE$4-1),生データ!$D:$O,COLUMN(C3),TRUE),""),"")</f>
        <v/>
      </c>
      <c r="AB8" s="35" t="str">
        <f ca="1">IFERROR(IF(INDEX(生データ!$D:$D,MATCH(OFFSET($D$22,$Z8-1,$AE$4-1),生データ!$D:$D,1))=OFFSET($D$22,$Z8-1,$AE$4-1),VLOOKUP(OFFSET($D$22,$Z8-1,$AE$4-1),生データ!$D:$O,COLUMN(D3),TRUE),""),"")</f>
        <v/>
      </c>
      <c r="AC8" s="35" t="str">
        <f ca="1">IFERROR(IF(INDEX(生データ!$D:$D,MATCH(OFFSET($D$22,$Z8-1,$AE$4-1),生データ!$D:$D,1))=OFFSET($D$22,$Z8-1,$AE$4-1),VLOOKUP(OFFSET($D$22,$Z8-1,$AE$4-1),生データ!$D:$O,COLUMN(E3),TRUE),""),"")</f>
        <v/>
      </c>
      <c r="AD8" s="35" t="str">
        <f ca="1">IFERROR(IF(INDEX(生データ!$D:$D,MATCH(OFFSET($D$22,$Z8-1,$AE$4-1),生データ!$D:$D,1))=OFFSET($D$22,$Z8-1,$AE$4-1),VLOOKUP(OFFSET($D$22,$Z8-1,$AE$4-1),生データ!$D:$O,COLUMN(F3),TRUE),""),"")</f>
        <v/>
      </c>
      <c r="AE8" s="35" t="str">
        <f ca="1">IFERROR(IF(INDEX(生データ!$D:$D,MATCH(OFFSET($D$22,$Z8-1,$AE$4-1),生データ!$D:$D,1))=OFFSET($D$22,$Z8-1,$AE$4-1),VLOOKUP(OFFSET($D$22,$Z8-1,$AE$4-1),生データ!$D:$O,COLUMN(G3),TRUE),""),"")</f>
        <v/>
      </c>
      <c r="AF8" s="35" t="str">
        <f ca="1">IFERROR(IF(INDEX(生データ!$D:$D,MATCH(OFFSET($D$22,$Z8-1,$AE$4-1),生データ!$D:$D,1))=OFFSET($D$22,$Z8-1,$AE$4-1),VLOOKUP(OFFSET($D$22,$Z8-1,$AE$4-1),生データ!$D:$O,COLUMN(H3),TRUE),""),"")</f>
        <v/>
      </c>
      <c r="AG8" s="35" t="str">
        <f ca="1">IFERROR(IF(INDEX(生データ!$D:$D,MATCH(OFFSET($D$22,$Z8-1,$AE$4-1),生データ!$D:$D,1))=OFFSET($D$22,$Z8-1,$AE$4-1),VLOOKUP(OFFSET($D$22,$Z8-1,$AE$4-1),生データ!$D:$O,COLUMN(I3),TRUE),""),"")</f>
        <v/>
      </c>
      <c r="AH8" s="35" t="str">
        <f ca="1">IFERROR(IF(INDEX(生データ!$D:$D,MATCH(OFFSET($D$22,$Z8-1,$AE$4-1),生データ!$D:$D,1))=OFFSET($D$22,$Z8-1,$AE$4-1),VLOOKUP(OFFSET($D$22,$Z8-1,$AE$4-1),生データ!$D:$O,COLUMN(J3),TRUE),""),"")</f>
        <v/>
      </c>
      <c r="AI8" s="35" t="str">
        <f ca="1">IFERROR(IF(INDEX(生データ!$D:$D,MATCH(OFFSET($D$22,$Z8-1,$AE$4-1),生データ!$D:$D,1))=OFFSET($D$22,$Z8-1,$AE$4-1),VLOOKUP(OFFSET($D$22,$Z8-1,$AE$4-1),生データ!$D:$O,COLUMN(K3),TRUE),""),"")</f>
        <v/>
      </c>
      <c r="AJ8" s="35" t="str">
        <f ca="1">IFERROR(IF(INDEX(生データ!$D:$D,MATCH(OFFSET($D$22,$Z8-1,$AE$4-1),生データ!$D:$D,1))=OFFSET($D$22,$Z8-1,$AE$4-1),VLOOKUP(OFFSET($D$22,$Z8-1,$AE$4-1),生データ!$D:$O,COLUMN(L3),TRUE),""),"")</f>
        <v/>
      </c>
    </row>
    <row r="9" spans="1:36" ht="20.100000000000001" customHeight="1" x14ac:dyDescent="0.7">
      <c r="Z9" s="35">
        <v>4</v>
      </c>
      <c r="AA9" s="35" t="str">
        <f ca="1">IFERROR(IF(INDEX(生データ!$D:$D,MATCH(OFFSET($D$22,$Z9-1,$AE$4-1),生データ!$D:$D,1))=OFFSET($D$22,$Z9-1,$AE$4-1),VLOOKUP(OFFSET($D$22,$Z9-1,$AE$4-1),生データ!$D:$O,COLUMN(C4),TRUE),""),"")</f>
        <v/>
      </c>
      <c r="AB9" s="35" t="str">
        <f ca="1">IFERROR(IF(INDEX(生データ!$D:$D,MATCH(OFFSET($D$22,$Z9-1,$AE$4-1),生データ!$D:$D,1))=OFFSET($D$22,$Z9-1,$AE$4-1),VLOOKUP(OFFSET($D$22,$Z9-1,$AE$4-1),生データ!$D:$O,COLUMN(D4),TRUE),""),"")</f>
        <v/>
      </c>
      <c r="AC9" s="35" t="str">
        <f ca="1">IFERROR(IF(INDEX(生データ!$D:$D,MATCH(OFFSET($D$22,$Z9-1,$AE$4-1),生データ!$D:$D,1))=OFFSET($D$22,$Z9-1,$AE$4-1),VLOOKUP(OFFSET($D$22,$Z9-1,$AE$4-1),生データ!$D:$O,COLUMN(E4),TRUE),""),"")</f>
        <v/>
      </c>
      <c r="AD9" s="35" t="str">
        <f ca="1">IFERROR(IF(INDEX(生データ!$D:$D,MATCH(OFFSET($D$22,$Z9-1,$AE$4-1),生データ!$D:$D,1))=OFFSET($D$22,$Z9-1,$AE$4-1),VLOOKUP(OFFSET($D$22,$Z9-1,$AE$4-1),生データ!$D:$O,COLUMN(F4),TRUE),""),"")</f>
        <v/>
      </c>
      <c r="AE9" s="35" t="str">
        <f ca="1">IFERROR(IF(INDEX(生データ!$D:$D,MATCH(OFFSET($D$22,$Z9-1,$AE$4-1),生データ!$D:$D,1))=OFFSET($D$22,$Z9-1,$AE$4-1),VLOOKUP(OFFSET($D$22,$Z9-1,$AE$4-1),生データ!$D:$O,COLUMN(G4),TRUE),""),"")</f>
        <v/>
      </c>
      <c r="AF9" s="35" t="str">
        <f ca="1">IFERROR(IF(INDEX(生データ!$D:$D,MATCH(OFFSET($D$22,$Z9-1,$AE$4-1),生データ!$D:$D,1))=OFFSET($D$22,$Z9-1,$AE$4-1),VLOOKUP(OFFSET($D$22,$Z9-1,$AE$4-1),生データ!$D:$O,COLUMN(H4),TRUE),""),"")</f>
        <v/>
      </c>
      <c r="AG9" s="35" t="str">
        <f ca="1">IFERROR(IF(INDEX(生データ!$D:$D,MATCH(OFFSET($D$22,$Z9-1,$AE$4-1),生データ!$D:$D,1))=OFFSET($D$22,$Z9-1,$AE$4-1),VLOOKUP(OFFSET($D$22,$Z9-1,$AE$4-1),生データ!$D:$O,COLUMN(I4),TRUE),""),"")</f>
        <v/>
      </c>
      <c r="AH9" s="35" t="str">
        <f ca="1">IFERROR(IF(INDEX(生データ!$D:$D,MATCH(OFFSET($D$22,$Z9-1,$AE$4-1),生データ!$D:$D,1))=OFFSET($D$22,$Z9-1,$AE$4-1),VLOOKUP(OFFSET($D$22,$Z9-1,$AE$4-1),生データ!$D:$O,COLUMN(J4),TRUE),""),"")</f>
        <v/>
      </c>
      <c r="AI9" s="35" t="str">
        <f ca="1">IFERROR(IF(INDEX(生データ!$D:$D,MATCH(OFFSET($D$22,$Z9-1,$AE$4-1),生データ!$D:$D,1))=OFFSET($D$22,$Z9-1,$AE$4-1),VLOOKUP(OFFSET($D$22,$Z9-1,$AE$4-1),生データ!$D:$O,COLUMN(K4),TRUE),""),"")</f>
        <v/>
      </c>
      <c r="AJ9" s="35" t="str">
        <f ca="1">IFERROR(IF(INDEX(生データ!$D:$D,MATCH(OFFSET($D$22,$Z9-1,$AE$4-1),生データ!$D:$D,1))=OFFSET($D$22,$Z9-1,$AE$4-1),VLOOKUP(OFFSET($D$22,$Z9-1,$AE$4-1),生データ!$D:$O,COLUMN(L4),TRUE),""),"")</f>
        <v/>
      </c>
    </row>
    <row r="10" spans="1:36" ht="30" customHeight="1" x14ac:dyDescent="0.7">
      <c r="C10" s="33" t="s">
        <v>67</v>
      </c>
      <c r="Z10" s="35">
        <v>5</v>
      </c>
      <c r="AA10" s="35" t="str">
        <f ca="1">IFERROR(IF(INDEX(生データ!$D:$D,MATCH(OFFSET($D$22,$Z10-1,$AE$4-1),生データ!$D:$D,1))=OFFSET($D$22,$Z10-1,$AE$4-1),VLOOKUP(OFFSET($D$22,$Z10-1,$AE$4-1),生データ!$D:$O,COLUMN(C5),TRUE),""),"")</f>
        <v/>
      </c>
      <c r="AB10" s="35" t="str">
        <f ca="1">IFERROR(IF(INDEX(生データ!$D:$D,MATCH(OFFSET($D$22,$Z10-1,$AE$4-1),生データ!$D:$D,1))=OFFSET($D$22,$Z10-1,$AE$4-1),VLOOKUP(OFFSET($D$22,$Z10-1,$AE$4-1),生データ!$D:$O,COLUMN(D5),TRUE),""),"")</f>
        <v/>
      </c>
      <c r="AC10" s="35" t="str">
        <f ca="1">IFERROR(IF(INDEX(生データ!$D:$D,MATCH(OFFSET($D$22,$Z10-1,$AE$4-1),生データ!$D:$D,1))=OFFSET($D$22,$Z10-1,$AE$4-1),VLOOKUP(OFFSET($D$22,$Z10-1,$AE$4-1),生データ!$D:$O,COLUMN(E5),TRUE),""),"")</f>
        <v/>
      </c>
      <c r="AD10" s="35" t="str">
        <f ca="1">IFERROR(IF(INDEX(生データ!$D:$D,MATCH(OFFSET($D$22,$Z10-1,$AE$4-1),生データ!$D:$D,1))=OFFSET($D$22,$Z10-1,$AE$4-1),VLOOKUP(OFFSET($D$22,$Z10-1,$AE$4-1),生データ!$D:$O,COLUMN(F5),TRUE),""),"")</f>
        <v/>
      </c>
      <c r="AE10" s="35" t="str">
        <f ca="1">IFERROR(IF(INDEX(生データ!$D:$D,MATCH(OFFSET($D$22,$Z10-1,$AE$4-1),生データ!$D:$D,1))=OFFSET($D$22,$Z10-1,$AE$4-1),VLOOKUP(OFFSET($D$22,$Z10-1,$AE$4-1),生データ!$D:$O,COLUMN(G5),TRUE),""),"")</f>
        <v/>
      </c>
      <c r="AF10" s="35" t="str">
        <f ca="1">IFERROR(IF(INDEX(生データ!$D:$D,MATCH(OFFSET($D$22,$Z10-1,$AE$4-1),生データ!$D:$D,1))=OFFSET($D$22,$Z10-1,$AE$4-1),VLOOKUP(OFFSET($D$22,$Z10-1,$AE$4-1),生データ!$D:$O,COLUMN(H5),TRUE),""),"")</f>
        <v/>
      </c>
      <c r="AG10" s="35" t="str">
        <f ca="1">IFERROR(IF(INDEX(生データ!$D:$D,MATCH(OFFSET($D$22,$Z10-1,$AE$4-1),生データ!$D:$D,1))=OFFSET($D$22,$Z10-1,$AE$4-1),VLOOKUP(OFFSET($D$22,$Z10-1,$AE$4-1),生データ!$D:$O,COLUMN(I5),TRUE),""),"")</f>
        <v/>
      </c>
      <c r="AH10" s="35" t="str">
        <f ca="1">IFERROR(IF(INDEX(生データ!$D:$D,MATCH(OFFSET($D$22,$Z10-1,$AE$4-1),生データ!$D:$D,1))=OFFSET($D$22,$Z10-1,$AE$4-1),VLOOKUP(OFFSET($D$22,$Z10-1,$AE$4-1),生データ!$D:$O,COLUMN(J5),TRUE),""),"")</f>
        <v/>
      </c>
      <c r="AI10" s="35" t="str">
        <f ca="1">IFERROR(IF(INDEX(生データ!$D:$D,MATCH(OFFSET($D$22,$Z10-1,$AE$4-1),生データ!$D:$D,1))=OFFSET($D$22,$Z10-1,$AE$4-1),VLOOKUP(OFFSET($D$22,$Z10-1,$AE$4-1),生データ!$D:$O,COLUMN(K5),TRUE),""),"")</f>
        <v/>
      </c>
      <c r="AJ10" s="35" t="str">
        <f ca="1">IFERROR(IF(INDEX(生データ!$D:$D,MATCH(OFFSET($D$22,$Z10-1,$AE$4-1),生データ!$D:$D,1))=OFFSET($D$22,$Z10-1,$AE$4-1),VLOOKUP(OFFSET($D$22,$Z10-1,$AE$4-1),生データ!$D:$O,COLUMN(L5),TRUE),""),"")</f>
        <v/>
      </c>
    </row>
    <row r="11" spans="1:36" ht="30" customHeight="1" x14ac:dyDescent="0.7">
      <c r="C11" s="17" t="s">
        <v>66</v>
      </c>
    </row>
    <row r="12" spans="1:36" ht="30" customHeight="1" x14ac:dyDescent="0.7">
      <c r="B12" t="e">
        <f>se</f>
        <v>#NAME?</v>
      </c>
      <c r="C12" s="17" t="str">
        <f>IF(ISNUMBER($T$14),"現在の１日の予約上限数→"&amp;T14&amp;"コマまで","現在、予約の制限ありません")</f>
        <v>現在の１日の予約上限数→2コマまで</v>
      </c>
      <c r="H12" s="1"/>
    </row>
    <row r="13" spans="1:36" ht="30" customHeight="1" x14ac:dyDescent="0.7">
      <c r="C13" s="17" t="str">
        <f>IF($T$16="on","現在、混雑のため現在のコマのみ予約可能です","")</f>
        <v/>
      </c>
      <c r="H13" s="1"/>
      <c r="T13" t="s">
        <v>89</v>
      </c>
    </row>
    <row r="14" spans="1:36" ht="30" customHeight="1" x14ac:dyDescent="0.7">
      <c r="H14" s="1"/>
      <c r="T14" s="35">
        <v>2</v>
      </c>
      <c r="U14" s="38"/>
      <c r="V14" s="39" t="s">
        <v>68</v>
      </c>
      <c r="W14" s="39"/>
      <c r="X14" s="40"/>
    </row>
    <row r="15" spans="1:36" ht="30" customHeight="1" x14ac:dyDescent="0.7">
      <c r="B15" s="3"/>
      <c r="T15" s="46"/>
      <c r="U15" s="42"/>
      <c r="V15" s="42"/>
      <c r="W15" s="42"/>
      <c r="X15" s="43"/>
    </row>
    <row r="16" spans="1:36" ht="29.45" customHeight="1" x14ac:dyDescent="0.7">
      <c r="T16" s="47" t="s">
        <v>64</v>
      </c>
      <c r="U16" s="44"/>
      <c r="V16" s="44"/>
      <c r="W16" s="44"/>
      <c r="X16" s="45"/>
    </row>
    <row r="17" spans="3:10" x14ac:dyDescent="0.7">
      <c r="G17" s="5"/>
      <c r="H17" s="3"/>
    </row>
    <row r="18" spans="3:10" x14ac:dyDescent="0.7">
      <c r="G18" s="5"/>
      <c r="H18" s="3"/>
    </row>
    <row r="19" spans="3:10" x14ac:dyDescent="0.7">
      <c r="C19" s="3"/>
      <c r="D19" s="3"/>
      <c r="G19" s="5"/>
      <c r="H19" s="3"/>
    </row>
    <row r="20" spans="3:10" x14ac:dyDescent="0.7">
      <c r="C20" s="3"/>
      <c r="D20" s="3"/>
      <c r="G20" s="5"/>
      <c r="H20" s="3"/>
    </row>
    <row r="21" spans="3:10" hidden="1" x14ac:dyDescent="0.7">
      <c r="C21" s="3" t="str">
        <f ca="1">TEXT(K2,"yyyymmdd")</f>
        <v>20191113</v>
      </c>
      <c r="D21" s="3">
        <v>1</v>
      </c>
      <c r="E21">
        <v>2</v>
      </c>
      <c r="F21" s="3">
        <v>3</v>
      </c>
      <c r="G21" s="3">
        <v>4</v>
      </c>
      <c r="H21" s="3">
        <v>5</v>
      </c>
      <c r="I21" s="3">
        <v>6</v>
      </c>
      <c r="J21" s="3">
        <v>7</v>
      </c>
    </row>
    <row r="22" spans="3:10" hidden="1" x14ac:dyDescent="0.7">
      <c r="C22" s="3">
        <v>1</v>
      </c>
      <c r="D22" s="3">
        <f ca="1">$C$21*100+D$21*10+$C22</f>
        <v>2019111311</v>
      </c>
      <c r="E22" s="3">
        <f t="shared" ref="E22:J22" ca="1" si="0">$C$21*100+E$21*10+$C22</f>
        <v>2019111321</v>
      </c>
      <c r="F22" s="3">
        <f t="shared" ca="1" si="0"/>
        <v>2019111331</v>
      </c>
      <c r="G22" s="3">
        <f t="shared" ca="1" si="0"/>
        <v>2019111341</v>
      </c>
      <c r="H22" s="3">
        <f t="shared" ca="1" si="0"/>
        <v>2019111351</v>
      </c>
      <c r="I22" s="3">
        <f t="shared" ca="1" si="0"/>
        <v>2019111361</v>
      </c>
      <c r="J22" s="3">
        <f t="shared" ca="1" si="0"/>
        <v>2019111371</v>
      </c>
    </row>
    <row r="23" spans="3:10" hidden="1" x14ac:dyDescent="0.7">
      <c r="C23" s="3">
        <v>2</v>
      </c>
      <c r="D23" s="3">
        <f t="shared" ref="D23:J26" ca="1" si="1">$C$21*100+D$21*10+$C23</f>
        <v>2019111312</v>
      </c>
      <c r="E23" s="3">
        <f t="shared" ca="1" si="1"/>
        <v>2019111322</v>
      </c>
      <c r="F23" s="3">
        <f t="shared" ca="1" si="1"/>
        <v>2019111332</v>
      </c>
      <c r="G23" s="3">
        <f t="shared" ca="1" si="1"/>
        <v>2019111342</v>
      </c>
      <c r="H23" s="3">
        <f t="shared" ca="1" si="1"/>
        <v>2019111352</v>
      </c>
      <c r="I23" s="3">
        <f t="shared" ca="1" si="1"/>
        <v>2019111362</v>
      </c>
      <c r="J23" s="3">
        <f t="shared" ca="1" si="1"/>
        <v>2019111372</v>
      </c>
    </row>
    <row r="24" spans="3:10" hidden="1" x14ac:dyDescent="0.7">
      <c r="C24" s="3">
        <v>3</v>
      </c>
      <c r="D24" s="3">
        <f t="shared" ca="1" si="1"/>
        <v>2019111313</v>
      </c>
      <c r="E24" s="3">
        <f t="shared" ca="1" si="1"/>
        <v>2019111323</v>
      </c>
      <c r="F24" s="3">
        <f t="shared" ca="1" si="1"/>
        <v>2019111333</v>
      </c>
      <c r="G24" s="3">
        <f t="shared" ca="1" si="1"/>
        <v>2019111343</v>
      </c>
      <c r="H24" s="3">
        <f t="shared" ca="1" si="1"/>
        <v>2019111353</v>
      </c>
      <c r="I24" s="3">
        <f t="shared" ca="1" si="1"/>
        <v>2019111363</v>
      </c>
      <c r="J24" s="3">
        <f t="shared" ca="1" si="1"/>
        <v>2019111373</v>
      </c>
    </row>
    <row r="25" spans="3:10" hidden="1" x14ac:dyDescent="0.7">
      <c r="C25" s="3">
        <v>4</v>
      </c>
      <c r="D25" s="3">
        <f t="shared" ca="1" si="1"/>
        <v>2019111314</v>
      </c>
      <c r="E25" s="3">
        <f t="shared" ca="1" si="1"/>
        <v>2019111324</v>
      </c>
      <c r="F25" s="3">
        <f t="shared" ca="1" si="1"/>
        <v>2019111334</v>
      </c>
      <c r="G25" s="3">
        <f t="shared" ca="1" si="1"/>
        <v>2019111344</v>
      </c>
      <c r="H25" s="3">
        <f t="shared" ca="1" si="1"/>
        <v>2019111354</v>
      </c>
      <c r="I25" s="3">
        <f t="shared" ca="1" si="1"/>
        <v>2019111364</v>
      </c>
      <c r="J25" s="3">
        <f t="shared" ca="1" si="1"/>
        <v>2019111374</v>
      </c>
    </row>
    <row r="26" spans="3:10" hidden="1" x14ac:dyDescent="0.7">
      <c r="C26" s="3">
        <v>5</v>
      </c>
      <c r="D26" s="3">
        <f t="shared" ca="1" si="1"/>
        <v>2019111315</v>
      </c>
      <c r="E26" s="3">
        <f t="shared" ca="1" si="1"/>
        <v>2019111325</v>
      </c>
      <c r="F26" s="3">
        <f t="shared" ca="1" si="1"/>
        <v>2019111335</v>
      </c>
      <c r="G26" s="3">
        <f t="shared" ca="1" si="1"/>
        <v>2019111345</v>
      </c>
      <c r="H26" s="3">
        <f t="shared" ca="1" si="1"/>
        <v>2019111355</v>
      </c>
      <c r="I26" s="3">
        <f t="shared" ca="1" si="1"/>
        <v>2019111365</v>
      </c>
      <c r="J26" s="3">
        <f t="shared" ca="1" si="1"/>
        <v>2019111375</v>
      </c>
    </row>
  </sheetData>
  <sheetProtection sheet="1" objects="1" scenarios="1"/>
  <protectedRanges>
    <protectedRange sqref="AE4" name="範囲6"/>
    <protectedRange sqref="T4" name="範囲4"/>
    <protectedRange sqref="K2:L2" name="範囲3"/>
    <protectedRange sqref="T7:X7" name="範囲2"/>
    <protectedRange sqref="T14" name="範囲5"/>
  </protectedRanges>
  <mergeCells count="3">
    <mergeCell ref="K2:K3"/>
    <mergeCell ref="L2:L3"/>
    <mergeCell ref="N3:O3"/>
  </mergeCells>
  <phoneticPr fontId="1"/>
  <pageMargins left="0.25" right="0.25" top="0.75" bottom="0.75" header="0.3" footer="0.3"/>
  <pageSetup paperSize="9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32" r:id="rId4" name="Button 684">
              <controlPr defaultSize="0" print="0" autoFill="0" autoPict="0" macro="[0]!worksheet_recalculate">
                <anchor moveWithCells="1" sizeWithCells="1">
                  <from>
                    <xdr:col>15</xdr:col>
                    <xdr:colOff>581025</xdr:colOff>
                    <xdr:row>6</xdr:row>
                    <xdr:rowOff>433388</xdr:rowOff>
                  </from>
                  <to>
                    <xdr:col>18</xdr:col>
                    <xdr:colOff>333375</xdr:colOff>
                    <xdr:row>7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3" r:id="rId5" name="Button 685">
              <controlPr defaultSize="0" print="0" autoFill="0" autoPict="0" macro="[0]!past_enable_switch">
                <anchor moveWithCells="1" sizeWithCells="1">
                  <from>
                    <xdr:col>20</xdr:col>
                    <xdr:colOff>161925</xdr:colOff>
                    <xdr:row>3</xdr:row>
                    <xdr:rowOff>128588</xdr:rowOff>
                  </from>
                  <to>
                    <xdr:col>23</xdr:col>
                    <xdr:colOff>519113</xdr:colOff>
                    <xdr:row>3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7" r:id="rId6" name="Button 689">
              <controlPr defaultSize="0" print="0" autoFill="0" autoPict="0" macro="[0]!main_sheet_sort">
                <anchor moveWithCells="1" sizeWithCells="1">
                  <from>
                    <xdr:col>15</xdr:col>
                    <xdr:colOff>604838</xdr:colOff>
                    <xdr:row>3</xdr:row>
                    <xdr:rowOff>57150</xdr:rowOff>
                  </from>
                  <to>
                    <xdr:col>18</xdr:col>
                    <xdr:colOff>290513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7" r:id="rId7" name="Button 699">
              <controlPr defaultSize="0" print="0" autoFill="0" autoPict="0" macro="[0]!selction_move">
                <anchor moveWithCells="1" sizeWithCells="1">
                  <from>
                    <xdr:col>20</xdr:col>
                    <xdr:colOff>166688</xdr:colOff>
                    <xdr:row>4</xdr:row>
                    <xdr:rowOff>142875</xdr:rowOff>
                  </from>
                  <to>
                    <xdr:col>23</xdr:col>
                    <xdr:colOff>542925</xdr:colOff>
                    <xdr:row>4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0" r:id="rId8" name="Button 702">
              <controlPr defaultSize="0" print="0" autoFill="0" autoPict="0" macro="[0]!refresh_diplicate_sheet">
                <anchor moveWithCells="1" sizeWithCells="1">
                  <from>
                    <xdr:col>15</xdr:col>
                    <xdr:colOff>614363</xdr:colOff>
                    <xdr:row>7</xdr:row>
                    <xdr:rowOff>571500</xdr:rowOff>
                  </from>
                  <to>
                    <xdr:col>18</xdr:col>
                    <xdr:colOff>314325</xdr:colOff>
                    <xdr:row>9</xdr:row>
                    <xdr:rowOff>309563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1" r:id="rId9" name="Button 713">
              <controlPr defaultSize="0" print="0" autoFill="0" autoPict="0" macro="[0]!sheet_color_check">
                <anchor moveWithCells="1" sizeWithCells="1">
                  <from>
                    <xdr:col>19</xdr:col>
                    <xdr:colOff>152400</xdr:colOff>
                    <xdr:row>18</xdr:row>
                    <xdr:rowOff>28575</xdr:rowOff>
                  </from>
                  <to>
                    <xdr:col>24</xdr:col>
                    <xdr:colOff>495300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2" r:id="rId10" name="Button 714">
              <controlPr defaultSize="0" print="0" autoFill="0" autoPict="0" macro="[0]!recal">
                <anchor moveWithCells="1" sizeWithCells="1">
                  <from>
                    <xdr:col>15</xdr:col>
                    <xdr:colOff>566738</xdr:colOff>
                    <xdr:row>5</xdr:row>
                    <xdr:rowOff>366713</xdr:rowOff>
                  </from>
                  <to>
                    <xdr:col>18</xdr:col>
                    <xdr:colOff>314325</xdr:colOff>
                    <xdr:row>6</xdr:row>
                    <xdr:rowOff>280988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3" r:id="rId11" name="Button 715">
              <controlPr defaultSize="0" print="0" autoFill="0" autoPict="0" macro="[0]!limit_res_on_off_pass">
                <anchor moveWithCells="1" sizeWithCells="1">
                  <from>
                    <xdr:col>20</xdr:col>
                    <xdr:colOff>90488</xdr:colOff>
                    <xdr:row>14</xdr:row>
                    <xdr:rowOff>85725</xdr:rowOff>
                  </from>
                  <to>
                    <xdr:col>23</xdr:col>
                    <xdr:colOff>576263</xdr:colOff>
                    <xdr:row>15</xdr:row>
                    <xdr:rowOff>261938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" r:id="rId12" name="Button 722">
              <controlPr defaultSize="0" print="0" autoFill="0" autoPict="0" macro="[0]!formulabar_display">
                <anchor moveWithCells="1" sizeWithCells="1">
                  <from>
                    <xdr:col>13</xdr:col>
                    <xdr:colOff>38100</xdr:colOff>
                    <xdr:row>3</xdr:row>
                    <xdr:rowOff>33338</xdr:rowOff>
                  </from>
                  <to>
                    <xdr:col>15</xdr:col>
                    <xdr:colOff>133350</xdr:colOff>
                    <xdr:row>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" r:id="rId13" name="Button 723">
              <controlPr defaultSize="0" print="0" autoFill="0" autoPict="0" macro="[0]!headings_display">
                <anchor moveWithCells="1" sizeWithCells="1">
                  <from>
                    <xdr:col>13</xdr:col>
                    <xdr:colOff>19050</xdr:colOff>
                    <xdr:row>3</xdr:row>
                    <xdr:rowOff>571500</xdr:rowOff>
                  </from>
                  <to>
                    <xdr:col>15</xdr:col>
                    <xdr:colOff>200025</xdr:colOff>
                    <xdr:row>4</xdr:row>
                    <xdr:rowOff>61913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" r:id="rId14" name="Button 724">
              <controlPr defaultSize="0" print="0" autoFill="0" autoPict="0" macro="[0]!scrollbar_display">
                <anchor moveWithCells="1" sizeWithCells="1">
                  <from>
                    <xdr:col>13</xdr:col>
                    <xdr:colOff>9525</xdr:colOff>
                    <xdr:row>4</xdr:row>
                    <xdr:rowOff>190500</xdr:rowOff>
                  </from>
                  <to>
                    <xdr:col>15</xdr:col>
                    <xdr:colOff>200025</xdr:colOff>
                    <xdr:row>4</xdr:row>
                    <xdr:rowOff>585788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" r:id="rId15" name="Button 725">
              <controlPr defaultSize="0" print="0" autoFill="0" autoPict="0" macro="[0]!statusbar_display">
                <anchor moveWithCells="1" sizeWithCells="1">
                  <from>
                    <xdr:col>13</xdr:col>
                    <xdr:colOff>19050</xdr:colOff>
                    <xdr:row>4</xdr:row>
                    <xdr:rowOff>733425</xdr:rowOff>
                  </from>
                  <to>
                    <xdr:col>15</xdr:col>
                    <xdr:colOff>185738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" r:id="rId16" name="Button 726">
              <controlPr defaultSize="0" print="0" autoFill="0" autoPict="0" macro="[0]!tabs_display">
                <anchor moveWithCells="1" sizeWithCells="1">
                  <from>
                    <xdr:col>13</xdr:col>
                    <xdr:colOff>14288</xdr:colOff>
                    <xdr:row>5</xdr:row>
                    <xdr:rowOff>352425</xdr:rowOff>
                  </from>
                  <to>
                    <xdr:col>15</xdr:col>
                    <xdr:colOff>176213</xdr:colOff>
                    <xdr:row>5</xdr:row>
                    <xdr:rowOff>776288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9" r:id="rId17" name="Button 731">
              <controlPr defaultSize="0" print="0" autoFill="0" autoPict="0" macro="[0]!un_protect">
                <anchor moveWithCells="1" sizeWithCells="1">
                  <from>
                    <xdr:col>13</xdr:col>
                    <xdr:colOff>23813</xdr:colOff>
                    <xdr:row>6</xdr:row>
                    <xdr:rowOff>757238</xdr:rowOff>
                  </from>
                  <to>
                    <xdr:col>15</xdr:col>
                    <xdr:colOff>152400</xdr:colOff>
                    <xdr:row>7</xdr:row>
                    <xdr:rowOff>214313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0" r:id="rId18" name="Button 732">
              <controlPr defaultSize="0" print="0" autoFill="0" autoPict="0" macro="[0]!protect">
                <anchor moveWithCells="1" sizeWithCells="1">
                  <from>
                    <xdr:col>13</xdr:col>
                    <xdr:colOff>28575</xdr:colOff>
                    <xdr:row>6</xdr:row>
                    <xdr:rowOff>314325</xdr:rowOff>
                  </from>
                  <to>
                    <xdr:col>15</xdr:col>
                    <xdr:colOff>152400</xdr:colOff>
                    <xdr:row>6</xdr:row>
                    <xdr:rowOff>633413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1" r:id="rId19" name="Button 733">
              <controlPr defaultSize="0" print="0" autoFill="0" autoPict="0" macro="[0]!ribbon_display">
                <anchor moveWithCells="1" sizeWithCells="1">
                  <from>
                    <xdr:col>12</xdr:col>
                    <xdr:colOff>1009650</xdr:colOff>
                    <xdr:row>7</xdr:row>
                    <xdr:rowOff>585788</xdr:rowOff>
                  </from>
                  <to>
                    <xdr:col>15</xdr:col>
                    <xdr:colOff>152400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2" r:id="rId20" name="Button 734">
              <controlPr defaultSize="0" print="0" autoFill="0" autoPict="0" macro="[0]!ribbon_undisplay">
                <anchor moveWithCells="1" sizeWithCells="1">
                  <from>
                    <xdr:col>13</xdr:col>
                    <xdr:colOff>9525</xdr:colOff>
                    <xdr:row>8</xdr:row>
                    <xdr:rowOff>157163</xdr:rowOff>
                  </from>
                  <to>
                    <xdr:col>15</xdr:col>
                    <xdr:colOff>161925</xdr:colOff>
                    <xdr:row>9</xdr:row>
                    <xdr:rowOff>214313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4" r:id="rId21" name="Button 736">
              <controlPr defaultSize="0" print="0" autoFill="0" autoPict="0" macro="[0]!vbe_open">
                <anchor moveWithCells="1" sizeWithCells="1">
                  <from>
                    <xdr:col>13</xdr:col>
                    <xdr:colOff>176213</xdr:colOff>
                    <xdr:row>12</xdr:row>
                    <xdr:rowOff>133350</xdr:rowOff>
                  </from>
                  <to>
                    <xdr:col>15</xdr:col>
                    <xdr:colOff>328613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6" r:id="rId22" name="Button 738">
              <controlPr defaultSize="0" print="0" autoFill="0" autoPict="0" macro="[0]!Module7.add_new_shift">
                <anchor moveWithCells="1" sizeWithCells="1">
                  <from>
                    <xdr:col>19</xdr:col>
                    <xdr:colOff>76200</xdr:colOff>
                    <xdr:row>7</xdr:row>
                    <xdr:rowOff>233363</xdr:rowOff>
                  </from>
                  <to>
                    <xdr:col>23</xdr:col>
                    <xdr:colOff>495300</xdr:colOff>
                    <xdr:row>7</xdr:row>
                    <xdr:rowOff>623888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4" r:id="rId23" name="Button 746">
              <controlPr defaultSize="0" print="0" autoFill="0" autoPict="0" macro="[0]!input_new_passcord">
                <anchor moveWithCells="1" sizeWithCells="1">
                  <from>
                    <xdr:col>13</xdr:col>
                    <xdr:colOff>171450</xdr:colOff>
                    <xdr:row>13</xdr:row>
                    <xdr:rowOff>342900</xdr:rowOff>
                  </from>
                  <to>
                    <xdr:col>15</xdr:col>
                    <xdr:colOff>314325</xdr:colOff>
                    <xdr:row>14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7" r:id="rId24" name="Button 769">
              <controlPr defaultSize="0" print="0" autoFill="0" autoPict="0" macro="[0]!shift_sheet_sort">
                <anchor moveWithCells="1" sizeWithCells="1">
                  <from>
                    <xdr:col>15</xdr:col>
                    <xdr:colOff>585788</xdr:colOff>
                    <xdr:row>4</xdr:row>
                    <xdr:rowOff>133350</xdr:rowOff>
                  </from>
                  <to>
                    <xdr:col>18</xdr:col>
                    <xdr:colOff>280988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4" r:id="rId25" name="Button 776">
              <controlPr defaultSize="0" print="0" autoFill="0" autoPict="0" macro="[0]!edit_shift">
                <anchor moveWithCells="1" sizeWithCells="1">
                  <from>
                    <xdr:col>19</xdr:col>
                    <xdr:colOff>100013</xdr:colOff>
                    <xdr:row>8</xdr:row>
                    <xdr:rowOff>57150</xdr:rowOff>
                  </from>
                  <to>
                    <xdr:col>23</xdr:col>
                    <xdr:colOff>490538</xdr:colOff>
                    <xdr:row>9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14"/>
  <sheetViews>
    <sheetView showGridLines="0" zoomScaleNormal="100" workbookViewId="0">
      <selection activeCell="E3" sqref="E3"/>
    </sheetView>
  </sheetViews>
  <sheetFormatPr defaultRowHeight="17.649999999999999" x14ac:dyDescent="0.7"/>
  <cols>
    <col min="2" max="2" width="40.75" customWidth="1"/>
  </cols>
  <sheetData>
    <row r="1" spans="1:1" ht="180" customHeight="1" x14ac:dyDescent="0.7">
      <c r="A1">
        <v>1</v>
      </c>
    </row>
    <row r="2" spans="1:1" ht="180" customHeight="1" x14ac:dyDescent="0.7">
      <c r="A2">
        <v>2</v>
      </c>
    </row>
    <row r="3" spans="1:1" ht="180" customHeight="1" x14ac:dyDescent="0.7">
      <c r="A3">
        <v>3</v>
      </c>
    </row>
    <row r="4" spans="1:1" ht="180" customHeight="1" x14ac:dyDescent="0.7">
      <c r="A4">
        <v>4</v>
      </c>
    </row>
    <row r="5" spans="1:1" ht="180" customHeight="1" x14ac:dyDescent="0.7">
      <c r="A5">
        <v>5</v>
      </c>
    </row>
    <row r="6" spans="1:1" ht="180" customHeight="1" x14ac:dyDescent="0.7">
      <c r="A6">
        <v>6</v>
      </c>
    </row>
    <row r="7" spans="1:1" ht="180" customHeight="1" x14ac:dyDescent="0.7">
      <c r="A7">
        <v>7</v>
      </c>
    </row>
    <row r="8" spans="1:1" ht="180" customHeight="1" x14ac:dyDescent="0.7">
      <c r="A8">
        <v>9</v>
      </c>
    </row>
    <row r="9" spans="1:1" ht="180" customHeight="1" x14ac:dyDescent="0.7">
      <c r="A9">
        <v>10</v>
      </c>
    </row>
    <row r="10" spans="1:1" ht="180" customHeight="1" x14ac:dyDescent="0.7">
      <c r="A10">
        <v>11</v>
      </c>
    </row>
    <row r="11" spans="1:1" ht="180" customHeight="1" x14ac:dyDescent="0.7">
      <c r="A11">
        <v>13</v>
      </c>
    </row>
    <row r="12" spans="1:1" ht="180" customHeight="1" x14ac:dyDescent="0.7"/>
    <row r="13" spans="1:1" ht="180" customHeight="1" x14ac:dyDescent="0.7"/>
    <row r="14" spans="1:1" ht="180" customHeight="1" x14ac:dyDescent="0.7"/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L17"/>
  <sheetViews>
    <sheetView workbookViewId="0">
      <selection activeCell="D3" sqref="D3"/>
    </sheetView>
  </sheetViews>
  <sheetFormatPr defaultRowHeight="17.649999999999999" x14ac:dyDescent="0.7"/>
  <cols>
    <col min="4" max="4" width="13.25" customWidth="1"/>
    <col min="5" max="5" width="67" customWidth="1"/>
    <col min="6" max="6" width="98.375" customWidth="1"/>
    <col min="7" max="7" width="15.625" customWidth="1"/>
  </cols>
  <sheetData>
    <row r="1" spans="1:12" x14ac:dyDescent="0.7">
      <c r="A1" t="s">
        <v>55</v>
      </c>
      <c r="B1" t="s">
        <v>56</v>
      </c>
      <c r="C1" t="s">
        <v>57</v>
      </c>
      <c r="D1" t="s">
        <v>58</v>
      </c>
      <c r="E1" t="s">
        <v>59</v>
      </c>
      <c r="F1" t="s">
        <v>60</v>
      </c>
    </row>
    <row r="2" spans="1:12" x14ac:dyDescent="0.7">
      <c r="A2" s="26">
        <v>1</v>
      </c>
      <c r="B2" s="26"/>
      <c r="C2" s="26"/>
      <c r="D2" s="26" t="s">
        <v>100</v>
      </c>
      <c r="E2" s="26"/>
      <c r="F2" s="26"/>
      <c r="G2" s="26"/>
      <c r="H2" s="26"/>
      <c r="I2" s="26"/>
      <c r="J2" s="26"/>
      <c r="K2" s="26"/>
      <c r="L2" s="26"/>
    </row>
    <row r="3" spans="1:12" x14ac:dyDescent="0.7">
      <c r="A3" s="26">
        <v>2</v>
      </c>
      <c r="B3" s="26"/>
      <c r="C3" s="26"/>
      <c r="D3" s="26" t="s">
        <v>99</v>
      </c>
      <c r="E3" s="37"/>
      <c r="F3" s="26"/>
      <c r="G3" s="26"/>
      <c r="H3" s="26"/>
      <c r="I3" s="26"/>
      <c r="J3" s="26"/>
      <c r="K3" s="26"/>
      <c r="L3" s="26"/>
    </row>
    <row r="4" spans="1:12" x14ac:dyDescent="0.7">
      <c r="A4" s="26">
        <v>3</v>
      </c>
      <c r="B4" s="26"/>
      <c r="C4" s="26"/>
      <c r="D4" s="26" t="s">
        <v>98</v>
      </c>
      <c r="E4" s="26"/>
      <c r="F4" s="26"/>
      <c r="G4" s="26"/>
      <c r="H4" s="26"/>
      <c r="I4" s="26"/>
      <c r="J4" s="26"/>
      <c r="K4" s="26"/>
      <c r="L4" s="26"/>
    </row>
    <row r="5" spans="1:12" x14ac:dyDescent="0.7">
      <c r="A5" s="26">
        <v>4</v>
      </c>
      <c r="B5" s="26"/>
      <c r="C5" s="26"/>
      <c r="D5" s="26" t="s">
        <v>97</v>
      </c>
      <c r="E5" s="26"/>
      <c r="F5" s="26"/>
      <c r="G5" s="26"/>
      <c r="H5" s="26"/>
      <c r="I5" s="26"/>
      <c r="J5" s="26"/>
      <c r="K5" s="26"/>
      <c r="L5" s="26"/>
    </row>
    <row r="6" spans="1:12" x14ac:dyDescent="0.7">
      <c r="A6" s="26">
        <v>5</v>
      </c>
      <c r="B6" s="26"/>
      <c r="C6" s="26"/>
      <c r="D6" s="26" t="s">
        <v>96</v>
      </c>
      <c r="E6" s="26"/>
      <c r="F6" s="26"/>
      <c r="G6" s="26"/>
      <c r="H6" s="26"/>
      <c r="I6" s="26"/>
      <c r="J6" s="26"/>
      <c r="K6" s="26"/>
      <c r="L6" s="26"/>
    </row>
    <row r="7" spans="1:12" x14ac:dyDescent="0.7">
      <c r="A7" s="26">
        <v>6</v>
      </c>
      <c r="B7" s="26"/>
      <c r="C7" s="26"/>
      <c r="D7" s="26" t="s">
        <v>95</v>
      </c>
      <c r="E7" s="26"/>
      <c r="F7" s="26"/>
      <c r="G7" s="26"/>
      <c r="H7" s="26"/>
      <c r="I7" s="26"/>
      <c r="J7" s="26"/>
      <c r="K7" s="26"/>
      <c r="L7" s="26"/>
    </row>
    <row r="8" spans="1:12" x14ac:dyDescent="0.7">
      <c r="A8" s="26">
        <v>7</v>
      </c>
      <c r="B8" s="26"/>
      <c r="C8" s="26"/>
      <c r="D8" s="26" t="s">
        <v>90</v>
      </c>
      <c r="E8" s="26"/>
      <c r="F8" s="26"/>
      <c r="G8" s="26"/>
      <c r="H8" s="26"/>
      <c r="I8" s="26"/>
      <c r="J8" s="26"/>
      <c r="K8" s="26"/>
      <c r="L8" s="26"/>
    </row>
    <row r="9" spans="1:12" x14ac:dyDescent="0.7">
      <c r="A9" s="26">
        <v>9</v>
      </c>
      <c r="B9" s="26"/>
      <c r="C9" s="26"/>
      <c r="D9" s="26" t="s">
        <v>91</v>
      </c>
      <c r="E9" s="26"/>
      <c r="F9" s="26"/>
      <c r="G9" s="26"/>
      <c r="H9" s="26"/>
      <c r="I9" s="26"/>
      <c r="J9" s="26"/>
      <c r="K9" s="26"/>
      <c r="L9" s="26"/>
    </row>
    <row r="10" spans="1:12" x14ac:dyDescent="0.7">
      <c r="A10" s="26">
        <v>10</v>
      </c>
      <c r="B10" s="26"/>
      <c r="C10" s="26"/>
      <c r="D10" s="26" t="s">
        <v>92</v>
      </c>
      <c r="E10" s="26"/>
      <c r="F10" s="29"/>
      <c r="G10" s="26"/>
      <c r="H10" s="26"/>
      <c r="I10" s="26"/>
      <c r="J10" s="26"/>
      <c r="K10" s="26"/>
      <c r="L10" s="26"/>
    </row>
    <row r="11" spans="1:12" x14ac:dyDescent="0.7">
      <c r="A11" s="26">
        <v>11</v>
      </c>
      <c r="B11" s="26"/>
      <c r="C11" s="26"/>
      <c r="D11" s="26" t="s">
        <v>93</v>
      </c>
      <c r="E11" s="26"/>
      <c r="F11" s="26"/>
      <c r="G11" s="26"/>
      <c r="H11" s="26"/>
      <c r="I11" s="26"/>
      <c r="J11" s="26"/>
      <c r="K11" s="26"/>
      <c r="L11" s="26"/>
    </row>
    <row r="12" spans="1:12" x14ac:dyDescent="0.7">
      <c r="A12" s="26">
        <v>13</v>
      </c>
      <c r="B12" s="26"/>
      <c r="C12" s="26"/>
      <c r="D12" s="26" t="s">
        <v>94</v>
      </c>
      <c r="E12" s="26"/>
      <c r="F12" s="26"/>
      <c r="G12" s="26"/>
      <c r="H12" s="26"/>
      <c r="I12" s="26"/>
      <c r="J12" s="26"/>
      <c r="K12" s="26"/>
      <c r="L12" s="26"/>
    </row>
    <row r="13" spans="1:12" x14ac:dyDescent="0.7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</row>
    <row r="14" spans="1:12" x14ac:dyDescent="0.7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</row>
    <row r="15" spans="1:12" x14ac:dyDescent="0.7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</row>
    <row r="16" spans="1:12" x14ac:dyDescent="0.7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</row>
    <row r="17" spans="1:12" x14ac:dyDescent="0.7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</row>
  </sheetData>
  <sortState xmlns:xlrd2="http://schemas.microsoft.com/office/spreadsheetml/2017/richdata2" ref="A2:F17">
    <sortCondition ref="A1"/>
  </sortState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ofile_update">
                <anchor moveWithCells="1" sizeWithCells="1">
                  <from>
                    <xdr:col>8</xdr:col>
                    <xdr:colOff>133350</xdr:colOff>
                    <xdr:row>23</xdr:row>
                    <xdr:rowOff>0</xdr:rowOff>
                  </from>
                  <to>
                    <xdr:col>11</xdr:col>
                    <xdr:colOff>419100</xdr:colOff>
                    <xdr:row>25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I232"/>
  <sheetViews>
    <sheetView workbookViewId="0">
      <pane ySplit="1" topLeftCell="A2" activePane="bottomLeft" state="frozen"/>
      <selection pane="bottomLeft" activeCell="H29" sqref="H29"/>
    </sheetView>
  </sheetViews>
  <sheetFormatPr defaultColWidth="8.875" defaultRowHeight="17.649999999999999" x14ac:dyDescent="0.7"/>
  <cols>
    <col min="1" max="1" width="14.375" customWidth="1"/>
    <col min="4" max="4" width="12.625" customWidth="1"/>
    <col min="6" max="6" width="19.625" style="2" customWidth="1"/>
    <col min="7" max="16" width="10.625" style="2" customWidth="1"/>
    <col min="17" max="35" width="8.875" style="2"/>
  </cols>
  <sheetData>
    <row r="1" spans="1:35" x14ac:dyDescent="0.7">
      <c r="A1" t="s">
        <v>0</v>
      </c>
      <c r="B1" t="s">
        <v>1</v>
      </c>
      <c r="C1" t="s">
        <v>11</v>
      </c>
      <c r="D1" t="s">
        <v>21</v>
      </c>
      <c r="E1" t="s">
        <v>70</v>
      </c>
      <c r="F1" s="2" t="s">
        <v>2</v>
      </c>
      <c r="G1" s="2" t="s">
        <v>3</v>
      </c>
      <c r="H1" s="2" t="s">
        <v>20</v>
      </c>
      <c r="I1" s="2" t="s">
        <v>4</v>
      </c>
      <c r="J1" s="2" t="s">
        <v>5</v>
      </c>
      <c r="K1" s="2" t="s">
        <v>6</v>
      </c>
      <c r="L1" s="2" t="s">
        <v>7</v>
      </c>
      <c r="M1" s="2" t="s">
        <v>8</v>
      </c>
      <c r="N1" s="2" t="s">
        <v>9</v>
      </c>
      <c r="O1" s="2" t="s">
        <v>10</v>
      </c>
    </row>
    <row r="2" spans="1:35" x14ac:dyDescent="0.7">
      <c r="A2">
        <v>20190714</v>
      </c>
      <c r="B2">
        <v>2</v>
      </c>
      <c r="C2">
        <v>2</v>
      </c>
      <c r="D2">
        <v>2019071422</v>
      </c>
      <c r="E2">
        <v>0</v>
      </c>
      <c r="F2" s="2">
        <v>192508005</v>
      </c>
      <c r="G2" s="2">
        <v>192508004</v>
      </c>
    </row>
    <row r="3" spans="1:35" s="26" customFormat="1" x14ac:dyDescent="0.7">
      <c r="A3" s="26">
        <v>20191106</v>
      </c>
      <c r="B3" s="26">
        <v>4</v>
      </c>
      <c r="C3" s="26">
        <v>2</v>
      </c>
      <c r="D3" s="26">
        <v>2019110642</v>
      </c>
      <c r="E3" s="26">
        <v>0</v>
      </c>
      <c r="F3" s="2">
        <v>342599567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</row>
    <row r="4" spans="1:35" s="26" customFormat="1" x14ac:dyDescent="0.7">
      <c r="A4" s="26">
        <v>20191106</v>
      </c>
      <c r="B4" s="26">
        <v>5</v>
      </c>
      <c r="C4" s="26">
        <v>1</v>
      </c>
      <c r="D4" s="26">
        <v>2019110651</v>
      </c>
      <c r="E4" s="26">
        <v>0</v>
      </c>
      <c r="F4" s="2">
        <v>152517043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</row>
    <row r="5" spans="1:35" s="26" customFormat="1" x14ac:dyDescent="0.7">
      <c r="A5" s="26">
        <v>20191106</v>
      </c>
      <c r="B5" s="26">
        <v>5</v>
      </c>
      <c r="C5" s="26">
        <v>2</v>
      </c>
      <c r="D5" s="26">
        <v>2019110652</v>
      </c>
      <c r="E5" s="26">
        <v>0</v>
      </c>
      <c r="F5" s="2">
        <v>332599333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</row>
    <row r="6" spans="1:35" s="26" customFormat="1" x14ac:dyDescent="0.7">
      <c r="A6" s="26">
        <v>20191106</v>
      </c>
      <c r="B6" s="26">
        <v>5</v>
      </c>
      <c r="C6" s="26">
        <v>3</v>
      </c>
      <c r="D6" s="26">
        <v>2019110653</v>
      </c>
      <c r="E6" s="26">
        <v>0</v>
      </c>
      <c r="F6" s="2">
        <v>342599567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</row>
    <row r="7" spans="1:35" s="26" customFormat="1" x14ac:dyDescent="0.7">
      <c r="A7" s="26">
        <v>20191106</v>
      </c>
      <c r="B7" s="26">
        <v>5</v>
      </c>
      <c r="C7" s="26">
        <v>4</v>
      </c>
      <c r="D7" s="26">
        <v>2019110654</v>
      </c>
      <c r="E7" s="26">
        <v>0</v>
      </c>
      <c r="F7" s="2">
        <v>152517043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</row>
    <row r="8" spans="1:35" s="26" customFormat="1" x14ac:dyDescent="0.7">
      <c r="A8" s="26">
        <v>20191106</v>
      </c>
      <c r="B8" s="26">
        <v>5</v>
      </c>
      <c r="C8" s="26">
        <v>5</v>
      </c>
      <c r="D8" s="26">
        <v>2019110655</v>
      </c>
      <c r="E8" s="26">
        <v>0</v>
      </c>
      <c r="F8" s="2">
        <v>452599678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7">
      <c r="A9" s="26">
        <v>20191106</v>
      </c>
      <c r="B9" s="26">
        <v>6</v>
      </c>
      <c r="C9" s="26">
        <v>1</v>
      </c>
      <c r="D9" s="26">
        <v>2019110661</v>
      </c>
      <c r="E9" s="26">
        <v>0</v>
      </c>
      <c r="F9" s="2">
        <v>152517043</v>
      </c>
      <c r="G9" s="2">
        <v>232599456</v>
      </c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</row>
    <row r="10" spans="1:35" s="26" customFormat="1" x14ac:dyDescent="0.7">
      <c r="A10" s="26">
        <v>20191106</v>
      </c>
      <c r="B10" s="26">
        <v>6</v>
      </c>
      <c r="C10" s="26">
        <v>3</v>
      </c>
      <c r="D10" s="26">
        <v>2019110663</v>
      </c>
      <c r="E10" s="26">
        <v>0</v>
      </c>
      <c r="F10" s="2">
        <v>782516909</v>
      </c>
      <c r="G10" s="2">
        <v>442599444</v>
      </c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</row>
    <row r="11" spans="1:35" s="26" customFormat="1" x14ac:dyDescent="0.7">
      <c r="A11" s="26">
        <v>20191106</v>
      </c>
      <c r="B11" s="26">
        <v>7</v>
      </c>
      <c r="C11" s="26">
        <v>3</v>
      </c>
      <c r="D11" s="26">
        <v>2019110673</v>
      </c>
      <c r="E11" s="26">
        <v>0</v>
      </c>
      <c r="F11" s="2">
        <v>342599567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</row>
    <row r="12" spans="1:35" s="26" customFormat="1" x14ac:dyDescent="0.7">
      <c r="A12" s="26">
        <v>20191108</v>
      </c>
      <c r="B12" s="26">
        <v>2</v>
      </c>
      <c r="C12" s="26">
        <v>3</v>
      </c>
      <c r="D12" s="26">
        <v>2019110823</v>
      </c>
      <c r="E12" s="26">
        <v>0</v>
      </c>
      <c r="F12" s="2">
        <v>342599567</v>
      </c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</row>
    <row r="13" spans="1:35" s="26" customFormat="1" x14ac:dyDescent="0.7">
      <c r="A13" s="26">
        <v>20191108</v>
      </c>
      <c r="B13" s="26">
        <v>2</v>
      </c>
      <c r="C13" s="26">
        <v>4</v>
      </c>
      <c r="D13" s="26">
        <v>2019110824</v>
      </c>
      <c r="E13" s="26">
        <v>0</v>
      </c>
      <c r="F13" s="2">
        <v>452599678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</row>
    <row r="14" spans="1:35" s="26" customFormat="1" x14ac:dyDescent="0.7">
      <c r="A14" s="26">
        <v>20191108</v>
      </c>
      <c r="B14" s="26">
        <v>3</v>
      </c>
      <c r="C14" s="26">
        <v>2</v>
      </c>
      <c r="D14" s="26">
        <v>2019110832</v>
      </c>
      <c r="E14" s="26">
        <v>1</v>
      </c>
      <c r="F14" s="2">
        <v>342599567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</row>
    <row r="15" spans="1:35" s="26" customFormat="1" x14ac:dyDescent="0.7">
      <c r="A15" s="26">
        <v>20191108</v>
      </c>
      <c r="B15" s="26">
        <v>3</v>
      </c>
      <c r="C15" s="26">
        <v>4</v>
      </c>
      <c r="D15" s="26">
        <v>2019110834</v>
      </c>
      <c r="E15" s="26">
        <v>1</v>
      </c>
      <c r="F15" s="2">
        <v>452599678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</row>
    <row r="16" spans="1:35" s="26" customFormat="1" x14ac:dyDescent="0.7">
      <c r="A16" s="26">
        <v>20191108</v>
      </c>
      <c r="B16" s="26">
        <v>4</v>
      </c>
      <c r="C16" s="26">
        <v>4</v>
      </c>
      <c r="D16" s="26">
        <v>2019110844</v>
      </c>
      <c r="E16" s="26">
        <v>0</v>
      </c>
      <c r="F16" s="2">
        <v>342599567</v>
      </c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</row>
    <row r="17" spans="1:35" s="26" customFormat="1" x14ac:dyDescent="0.7">
      <c r="A17" s="26">
        <v>20191108</v>
      </c>
      <c r="B17" s="26">
        <v>6</v>
      </c>
      <c r="C17" s="26">
        <v>3</v>
      </c>
      <c r="D17" s="26">
        <v>2019110863</v>
      </c>
      <c r="E17" s="26">
        <v>0</v>
      </c>
      <c r="F17" s="2">
        <v>222599222</v>
      </c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</row>
    <row r="18" spans="1:35" s="26" customFormat="1" x14ac:dyDescent="0.7">
      <c r="A18" s="26">
        <v>20191109</v>
      </c>
      <c r="B18" s="26">
        <v>2</v>
      </c>
      <c r="C18" s="26">
        <v>1</v>
      </c>
      <c r="D18" s="26">
        <v>2019110921</v>
      </c>
      <c r="E18" s="26">
        <v>0</v>
      </c>
      <c r="F18" s="2">
        <v>562599789</v>
      </c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</row>
    <row r="19" spans="1:35" s="26" customFormat="1" x14ac:dyDescent="0.7">
      <c r="A19" s="26">
        <v>20191109</v>
      </c>
      <c r="B19" s="26">
        <v>3</v>
      </c>
      <c r="C19" s="26">
        <v>2</v>
      </c>
      <c r="D19" s="26">
        <v>2019110932</v>
      </c>
      <c r="E19" s="26">
        <v>1</v>
      </c>
      <c r="F19" s="2">
        <v>342599567</v>
      </c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</row>
    <row r="20" spans="1:35" s="26" customFormat="1" x14ac:dyDescent="0.7">
      <c r="A20" s="26">
        <v>20191109</v>
      </c>
      <c r="B20" s="26">
        <v>4</v>
      </c>
      <c r="C20" s="26">
        <v>1</v>
      </c>
      <c r="D20" s="26">
        <v>2019110941</v>
      </c>
      <c r="E20" s="26">
        <v>0</v>
      </c>
      <c r="F20" s="2">
        <v>342599567</v>
      </c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</row>
    <row r="21" spans="1:35" s="26" customFormat="1" x14ac:dyDescent="0.7">
      <c r="A21" s="26">
        <v>20191109</v>
      </c>
      <c r="B21" s="26">
        <v>4</v>
      </c>
      <c r="C21" s="26">
        <v>2</v>
      </c>
      <c r="D21" s="26">
        <v>2019110942</v>
      </c>
      <c r="E21" s="26">
        <v>1</v>
      </c>
      <c r="F21" s="2">
        <v>122599111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</row>
    <row r="22" spans="1:35" s="26" customFormat="1" x14ac:dyDescent="0.7">
      <c r="A22" s="26">
        <v>20191109</v>
      </c>
      <c r="B22" s="26">
        <v>4</v>
      </c>
      <c r="C22" s="26">
        <v>3</v>
      </c>
      <c r="D22" s="26">
        <v>2019110943</v>
      </c>
      <c r="E22" s="26">
        <v>0</v>
      </c>
      <c r="F22" s="2">
        <v>342599567</v>
      </c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</row>
    <row r="23" spans="1:35" s="26" customFormat="1" x14ac:dyDescent="0.7">
      <c r="A23" s="26">
        <v>20191109</v>
      </c>
      <c r="B23" s="26">
        <v>5</v>
      </c>
      <c r="C23" s="26">
        <v>1</v>
      </c>
      <c r="D23" s="26">
        <v>2019110951</v>
      </c>
      <c r="E23" s="26">
        <v>0</v>
      </c>
      <c r="F23" s="2">
        <v>452599678</v>
      </c>
      <c r="G23" s="2">
        <v>122521222</v>
      </c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</row>
    <row r="24" spans="1:35" s="26" customFormat="1" x14ac:dyDescent="0.7">
      <c r="A24" s="26">
        <v>20191109</v>
      </c>
      <c r="B24" s="26">
        <v>5</v>
      </c>
      <c r="C24" s="26">
        <v>3</v>
      </c>
      <c r="D24" s="26">
        <v>2019110953</v>
      </c>
      <c r="E24" s="26">
        <v>0</v>
      </c>
      <c r="F24" s="2">
        <v>132599444</v>
      </c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</row>
    <row r="25" spans="1:35" s="26" customFormat="1" x14ac:dyDescent="0.7">
      <c r="A25" s="26">
        <v>20191109</v>
      </c>
      <c r="B25" s="26">
        <v>6</v>
      </c>
      <c r="C25" s="26">
        <v>1</v>
      </c>
      <c r="D25" s="26">
        <v>2019110961</v>
      </c>
      <c r="E25" s="26">
        <v>0</v>
      </c>
      <c r="F25" s="2">
        <v>412599234</v>
      </c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</row>
    <row r="26" spans="1:35" s="26" customFormat="1" x14ac:dyDescent="0.7">
      <c r="A26" s="26">
        <v>20191109</v>
      </c>
      <c r="B26" s="26">
        <v>6</v>
      </c>
      <c r="C26" s="26">
        <v>2</v>
      </c>
      <c r="D26" s="26">
        <v>2019110962</v>
      </c>
      <c r="E26" s="26">
        <v>1</v>
      </c>
      <c r="F26" s="2">
        <v>562599666</v>
      </c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</row>
    <row r="27" spans="1:35" s="26" customFormat="1" x14ac:dyDescent="0.7">
      <c r="A27" s="26">
        <v>20191109</v>
      </c>
      <c r="B27" s="26">
        <v>7</v>
      </c>
      <c r="C27" s="26">
        <v>1</v>
      </c>
      <c r="D27" s="26">
        <v>2019110971</v>
      </c>
      <c r="E27" s="26">
        <v>1</v>
      </c>
      <c r="F27" s="2">
        <v>312599234</v>
      </c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</row>
    <row r="28" spans="1:35" s="26" customFormat="1" x14ac:dyDescent="0.7">
      <c r="A28" s="26">
        <v>20191109</v>
      </c>
      <c r="B28" s="26">
        <v>7</v>
      </c>
      <c r="C28" s="26">
        <v>2</v>
      </c>
      <c r="D28" s="26">
        <v>2019110972</v>
      </c>
      <c r="E28" s="26">
        <v>0</v>
      </c>
      <c r="F28" s="2">
        <v>452599634</v>
      </c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</row>
    <row r="29" spans="1:35" s="26" customFormat="1" x14ac:dyDescent="0.7">
      <c r="A29" s="26">
        <v>20191110</v>
      </c>
      <c r="B29" s="26">
        <v>2</v>
      </c>
      <c r="C29" s="26">
        <v>1</v>
      </c>
      <c r="D29" s="26">
        <v>2019111021</v>
      </c>
      <c r="E29" s="26">
        <v>0</v>
      </c>
      <c r="F29" s="2">
        <v>222599222</v>
      </c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</row>
    <row r="30" spans="1:35" s="26" customFormat="1" x14ac:dyDescent="0.7">
      <c r="A30" s="26">
        <v>20191110</v>
      </c>
      <c r="B30" s="26">
        <v>5</v>
      </c>
      <c r="C30" s="26">
        <v>2</v>
      </c>
      <c r="D30" s="26">
        <v>2019111052</v>
      </c>
      <c r="E30" s="26">
        <v>1</v>
      </c>
      <c r="F30" s="2">
        <v>222599222</v>
      </c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</row>
    <row r="31" spans="1:35" s="26" customFormat="1" x14ac:dyDescent="0.7">
      <c r="A31" s="26">
        <v>20191111</v>
      </c>
      <c r="B31" s="26">
        <v>1</v>
      </c>
      <c r="C31" s="26">
        <v>2</v>
      </c>
      <c r="D31" s="26">
        <v>2019111112</v>
      </c>
      <c r="E31" s="26">
        <v>0</v>
      </c>
      <c r="F31" s="2">
        <v>452599678</v>
      </c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</row>
    <row r="32" spans="1:35" s="26" customFormat="1" x14ac:dyDescent="0.7">
      <c r="A32" s="26">
        <v>20191111</v>
      </c>
      <c r="B32" s="26">
        <v>2</v>
      </c>
      <c r="C32" s="26">
        <v>1</v>
      </c>
      <c r="D32" s="26">
        <v>2019111121</v>
      </c>
      <c r="E32" s="26">
        <v>0</v>
      </c>
      <c r="F32" s="2">
        <v>342599567</v>
      </c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</row>
    <row r="33" spans="1:35" s="26" customFormat="1" x14ac:dyDescent="0.7">
      <c r="A33" s="26">
        <v>20191111</v>
      </c>
      <c r="B33" s="26">
        <v>2</v>
      </c>
      <c r="C33" s="26">
        <v>4</v>
      </c>
      <c r="D33" s="26">
        <v>2019111124</v>
      </c>
      <c r="E33" s="26">
        <v>0</v>
      </c>
      <c r="F33" s="2">
        <v>342599333</v>
      </c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</row>
    <row r="34" spans="1:35" s="26" customFormat="1" x14ac:dyDescent="0.7">
      <c r="A34" s="26">
        <v>20191111</v>
      </c>
      <c r="B34" s="26">
        <v>3</v>
      </c>
      <c r="C34" s="26">
        <v>3</v>
      </c>
      <c r="D34" s="26">
        <v>2019111133</v>
      </c>
      <c r="E34" s="26">
        <v>0</v>
      </c>
      <c r="F34" s="2">
        <v>452599678</v>
      </c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</row>
    <row r="35" spans="1:35" s="26" customFormat="1" x14ac:dyDescent="0.7">
      <c r="A35" s="26">
        <v>20191111</v>
      </c>
      <c r="B35" s="26">
        <v>4</v>
      </c>
      <c r="C35" s="26">
        <v>3</v>
      </c>
      <c r="D35" s="26">
        <v>2019111143</v>
      </c>
      <c r="E35" s="26">
        <v>0</v>
      </c>
      <c r="F35" s="2">
        <v>452599678</v>
      </c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</row>
    <row r="36" spans="1:35" s="26" customFormat="1" x14ac:dyDescent="0.7">
      <c r="A36" s="26">
        <v>20191111</v>
      </c>
      <c r="B36" s="26">
        <v>5</v>
      </c>
      <c r="C36" s="26">
        <v>3</v>
      </c>
      <c r="D36" s="26">
        <v>2019111153</v>
      </c>
      <c r="E36" s="26">
        <v>0</v>
      </c>
      <c r="F36" s="2">
        <v>342599567</v>
      </c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</row>
    <row r="37" spans="1:35" s="26" customFormat="1" x14ac:dyDescent="0.7">
      <c r="A37" s="26">
        <v>20191111</v>
      </c>
      <c r="B37" s="26">
        <v>6</v>
      </c>
      <c r="C37" s="26">
        <v>3</v>
      </c>
      <c r="D37" s="26">
        <v>2019111163</v>
      </c>
      <c r="E37" s="26">
        <v>0</v>
      </c>
      <c r="F37" s="2">
        <v>252599333</v>
      </c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</row>
    <row r="38" spans="1:35" s="26" customFormat="1" x14ac:dyDescent="0.7">
      <c r="A38" s="26">
        <v>20191111</v>
      </c>
      <c r="B38" s="26">
        <v>6</v>
      </c>
      <c r="C38" s="26">
        <v>4</v>
      </c>
      <c r="D38" s="26">
        <v>2019111164</v>
      </c>
      <c r="E38" s="26">
        <v>0</v>
      </c>
      <c r="F38" s="2">
        <v>242599555</v>
      </c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</row>
    <row r="39" spans="1:35" s="26" customFormat="1" x14ac:dyDescent="0.7">
      <c r="A39" s="26">
        <v>20191111</v>
      </c>
      <c r="B39" s="26">
        <v>7</v>
      </c>
      <c r="C39" s="26">
        <v>3</v>
      </c>
      <c r="D39" s="26">
        <v>2019111173</v>
      </c>
      <c r="E39" s="26">
        <v>0</v>
      </c>
      <c r="F39" s="2">
        <v>112599111</v>
      </c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</row>
    <row r="40" spans="1:35" s="26" customFormat="1" x14ac:dyDescent="0.7">
      <c r="A40" s="26">
        <v>20191112</v>
      </c>
      <c r="B40" s="26">
        <v>2</v>
      </c>
      <c r="C40" s="26">
        <v>2</v>
      </c>
      <c r="D40" s="26">
        <v>2019111222</v>
      </c>
      <c r="E40" s="26">
        <v>0</v>
      </c>
      <c r="F40" s="2">
        <v>342599567</v>
      </c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</row>
    <row r="41" spans="1:35" s="26" customFormat="1" x14ac:dyDescent="0.7">
      <c r="A41" s="26">
        <v>20191112</v>
      </c>
      <c r="B41" s="26">
        <v>4</v>
      </c>
      <c r="C41" s="26">
        <v>3</v>
      </c>
      <c r="D41" s="26">
        <v>2019111243</v>
      </c>
      <c r="E41" s="26">
        <v>0</v>
      </c>
      <c r="F41" s="2">
        <v>342599567</v>
      </c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</row>
    <row r="42" spans="1:35" s="26" customFormat="1" x14ac:dyDescent="0.7">
      <c r="A42" s="26">
        <v>20191112</v>
      </c>
      <c r="B42" s="26">
        <v>5</v>
      </c>
      <c r="C42" s="26">
        <v>4</v>
      </c>
      <c r="D42" s="26">
        <v>2019111254</v>
      </c>
      <c r="E42" s="26">
        <v>0</v>
      </c>
      <c r="F42" s="2">
        <v>342599567</v>
      </c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</row>
    <row r="94" spans="6:35" s="16" customFormat="1" x14ac:dyDescent="0.7"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</row>
    <row r="95" spans="6:35" s="16" customFormat="1" x14ac:dyDescent="0.7"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</row>
    <row r="96" spans="6:35" s="18" customFormat="1" x14ac:dyDescent="0.7"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</row>
    <row r="97" spans="6:35" s="18" customFormat="1" x14ac:dyDescent="0.7"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</row>
    <row r="98" spans="6:35" s="19" customFormat="1" x14ac:dyDescent="0.7"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</row>
    <row r="99" spans="6:35" s="19" customFormat="1" x14ac:dyDescent="0.7"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</row>
    <row r="100" spans="6:35" s="25" customFormat="1" x14ac:dyDescent="0.7"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</row>
    <row r="101" spans="6:35" s="21" customFormat="1" x14ac:dyDescent="0.7"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</row>
    <row r="102" spans="6:35" s="25" customFormat="1" x14ac:dyDescent="0.7"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</row>
    <row r="103" spans="6:35" s="25" customFormat="1" x14ac:dyDescent="0.7"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</row>
    <row r="104" spans="6:35" s="21" customFormat="1" x14ac:dyDescent="0.7"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</row>
    <row r="105" spans="6:35" s="25" customFormat="1" x14ac:dyDescent="0.7"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</row>
    <row r="106" spans="6:35" s="25" customFormat="1" x14ac:dyDescent="0.7"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</row>
    <row r="107" spans="6:35" s="21" customFormat="1" x14ac:dyDescent="0.7"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</row>
    <row r="108" spans="6:35" s="25" customFormat="1" x14ac:dyDescent="0.7"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</row>
    <row r="109" spans="6:35" s="21" customFormat="1" x14ac:dyDescent="0.7"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</row>
    <row r="110" spans="6:35" s="21" customFormat="1" x14ac:dyDescent="0.7"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</row>
    <row r="111" spans="6:35" s="25" customFormat="1" x14ac:dyDescent="0.7"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</row>
    <row r="112" spans="6:35" s="25" customFormat="1" x14ac:dyDescent="0.7"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</row>
    <row r="113" spans="6:35" s="21" customFormat="1" x14ac:dyDescent="0.7"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</row>
    <row r="114" spans="6:35" s="19" customFormat="1" x14ac:dyDescent="0.7"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</row>
    <row r="115" spans="6:35" s="25" customFormat="1" x14ac:dyDescent="0.7"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</row>
    <row r="116" spans="6:35" s="23" customFormat="1" x14ac:dyDescent="0.7"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</row>
    <row r="117" spans="6:35" s="21" customFormat="1" x14ac:dyDescent="0.7"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</row>
    <row r="118" spans="6:35" s="21" customFormat="1" x14ac:dyDescent="0.7"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</row>
    <row r="119" spans="6:35" s="25" customFormat="1" x14ac:dyDescent="0.7"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</row>
    <row r="120" spans="6:35" s="25" customFormat="1" x14ac:dyDescent="0.7"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</row>
    <row r="121" spans="6:35" s="23" customFormat="1" x14ac:dyDescent="0.7"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</row>
    <row r="122" spans="6:35" s="23" customFormat="1" x14ac:dyDescent="0.7"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</row>
    <row r="123" spans="6:35" s="21" customFormat="1" x14ac:dyDescent="0.7"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</row>
    <row r="124" spans="6:35" s="26" customFormat="1" x14ac:dyDescent="0.7"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</row>
    <row r="125" spans="6:35" s="26" customFormat="1" x14ac:dyDescent="0.7"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</row>
    <row r="126" spans="6:35" s="26" customFormat="1" x14ac:dyDescent="0.7"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</row>
    <row r="127" spans="6:35" s="26" customFormat="1" x14ac:dyDescent="0.7"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</row>
    <row r="128" spans="6:35" s="26" customFormat="1" x14ac:dyDescent="0.7">
      <c r="F128" s="3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</row>
    <row r="129" spans="6:35" s="26" customFormat="1" x14ac:dyDescent="0.7"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</row>
    <row r="130" spans="6:35" s="26" customFormat="1" x14ac:dyDescent="0.7"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</row>
    <row r="131" spans="6:35" s="26" customFormat="1" x14ac:dyDescent="0.7"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</row>
    <row r="132" spans="6:35" s="26" customFormat="1" x14ac:dyDescent="0.7"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</row>
    <row r="133" spans="6:35" s="26" customFormat="1" x14ac:dyDescent="0.7"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</row>
    <row r="134" spans="6:35" s="26" customFormat="1" x14ac:dyDescent="0.7"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</row>
    <row r="135" spans="6:35" s="26" customFormat="1" x14ac:dyDescent="0.7"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</row>
    <row r="136" spans="6:35" s="26" customFormat="1" x14ac:dyDescent="0.7"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</row>
    <row r="137" spans="6:35" s="26" customFormat="1" x14ac:dyDescent="0.7"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</row>
    <row r="138" spans="6:35" s="26" customFormat="1" x14ac:dyDescent="0.7"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</row>
    <row r="139" spans="6:35" s="26" customFormat="1" x14ac:dyDescent="0.7"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</row>
    <row r="140" spans="6:35" s="26" customFormat="1" x14ac:dyDescent="0.7"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</row>
    <row r="141" spans="6:35" s="26" customFormat="1" x14ac:dyDescent="0.7"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</row>
    <row r="142" spans="6:35" s="26" customFormat="1" x14ac:dyDescent="0.7"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</row>
    <row r="143" spans="6:35" s="26" customFormat="1" x14ac:dyDescent="0.7"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</row>
    <row r="144" spans="6:35" s="26" customFormat="1" x14ac:dyDescent="0.7"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</row>
    <row r="145" spans="6:35" s="26" customFormat="1" x14ac:dyDescent="0.7"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</row>
    <row r="146" spans="6:35" s="26" customFormat="1" x14ac:dyDescent="0.7"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</row>
    <row r="147" spans="6:35" s="26" customFormat="1" x14ac:dyDescent="0.7"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</row>
    <row r="148" spans="6:35" s="26" customFormat="1" x14ac:dyDescent="0.7"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</row>
    <row r="150" spans="6:35" s="26" customFormat="1" x14ac:dyDescent="0.7"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</row>
    <row r="151" spans="6:35" s="26" customFormat="1" x14ac:dyDescent="0.7"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</row>
    <row r="152" spans="6:35" s="26" customFormat="1" x14ac:dyDescent="0.7"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</row>
    <row r="153" spans="6:35" s="26" customFormat="1" x14ac:dyDescent="0.7"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</row>
    <row r="154" spans="6:35" s="26" customFormat="1" x14ac:dyDescent="0.7"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</row>
    <row r="155" spans="6:35" s="26" customFormat="1" x14ac:dyDescent="0.7"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</row>
    <row r="156" spans="6:35" s="26" customFormat="1" x14ac:dyDescent="0.7"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</row>
    <row r="157" spans="6:35" s="26" customFormat="1" x14ac:dyDescent="0.7"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</row>
    <row r="158" spans="6:35" s="26" customFormat="1" x14ac:dyDescent="0.7"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</row>
    <row r="159" spans="6:35" s="26" customFormat="1" x14ac:dyDescent="0.7"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</row>
    <row r="160" spans="6:35" s="26" customFormat="1" x14ac:dyDescent="0.7"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</row>
    <row r="161" spans="6:35" s="26" customFormat="1" x14ac:dyDescent="0.7"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</row>
    <row r="162" spans="6:35" s="26" customFormat="1" x14ac:dyDescent="0.7"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</row>
    <row r="163" spans="6:35" s="26" customFormat="1" x14ac:dyDescent="0.7"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</row>
    <row r="164" spans="6:35" s="26" customFormat="1" x14ac:dyDescent="0.7"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</row>
    <row r="165" spans="6:35" s="26" customFormat="1" x14ac:dyDescent="0.7"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</row>
    <row r="166" spans="6:35" s="26" customFormat="1" x14ac:dyDescent="0.7"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</row>
    <row r="167" spans="6:35" s="26" customFormat="1" x14ac:dyDescent="0.7"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</row>
    <row r="168" spans="6:35" s="26" customFormat="1" x14ac:dyDescent="0.7"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</row>
    <row r="169" spans="6:35" s="26" customFormat="1" x14ac:dyDescent="0.7"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</row>
    <row r="170" spans="6:35" s="26" customFormat="1" x14ac:dyDescent="0.7"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</row>
    <row r="171" spans="6:35" s="26" customFormat="1" x14ac:dyDescent="0.7"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</row>
    <row r="172" spans="6:35" s="26" customFormat="1" x14ac:dyDescent="0.7"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</row>
    <row r="173" spans="6:35" s="26" customFormat="1" x14ac:dyDescent="0.7"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</row>
    <row r="174" spans="6:35" s="26" customFormat="1" x14ac:dyDescent="0.7"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</row>
    <row r="175" spans="6:35" s="26" customFormat="1" x14ac:dyDescent="0.7"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</row>
    <row r="176" spans="6:35" s="26" customFormat="1" x14ac:dyDescent="0.7"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</row>
    <row r="177" spans="6:35" s="26" customFormat="1" x14ac:dyDescent="0.7"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</row>
    <row r="178" spans="6:35" s="26" customFormat="1" x14ac:dyDescent="0.7"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</row>
    <row r="179" spans="6:35" s="26" customFormat="1" x14ac:dyDescent="0.7"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</row>
    <row r="180" spans="6:35" s="26" customFormat="1" x14ac:dyDescent="0.7"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</row>
    <row r="181" spans="6:35" s="26" customFormat="1" x14ac:dyDescent="0.7"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</row>
    <row r="182" spans="6:35" s="26" customFormat="1" x14ac:dyDescent="0.7"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</row>
    <row r="183" spans="6:35" s="26" customFormat="1" x14ac:dyDescent="0.7"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</row>
    <row r="184" spans="6:35" s="26" customFormat="1" x14ac:dyDescent="0.7"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</row>
    <row r="185" spans="6:35" s="26" customFormat="1" x14ac:dyDescent="0.7"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</row>
    <row r="186" spans="6:35" s="26" customFormat="1" x14ac:dyDescent="0.7"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</row>
    <row r="187" spans="6:35" s="26" customFormat="1" x14ac:dyDescent="0.7"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</row>
    <row r="188" spans="6:35" s="26" customFormat="1" x14ac:dyDescent="0.7"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</row>
    <row r="189" spans="6:35" s="26" customFormat="1" x14ac:dyDescent="0.7"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</row>
    <row r="190" spans="6:35" s="26" customFormat="1" x14ac:dyDescent="0.7"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</row>
    <row r="191" spans="6:35" s="26" customFormat="1" x14ac:dyDescent="0.7"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</row>
    <row r="192" spans="6:35" s="26" customFormat="1" x14ac:dyDescent="0.7"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</row>
    <row r="193" spans="6:35" s="26" customFormat="1" x14ac:dyDescent="0.7"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</row>
    <row r="194" spans="6:35" s="26" customFormat="1" x14ac:dyDescent="0.7"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</row>
    <row r="195" spans="6:35" s="26" customFormat="1" x14ac:dyDescent="0.7"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</row>
    <row r="196" spans="6:35" s="26" customFormat="1" x14ac:dyDescent="0.7"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</row>
    <row r="197" spans="6:35" s="26" customFormat="1" x14ac:dyDescent="0.7"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</row>
    <row r="198" spans="6:35" s="26" customFormat="1" x14ac:dyDescent="0.7"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</row>
    <row r="199" spans="6:35" s="26" customFormat="1" x14ac:dyDescent="0.7"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</row>
    <row r="200" spans="6:35" s="26" customFormat="1" x14ac:dyDescent="0.7"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</row>
    <row r="201" spans="6:35" s="26" customFormat="1" x14ac:dyDescent="0.7"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</row>
    <row r="202" spans="6:35" s="26" customFormat="1" x14ac:dyDescent="0.7"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</row>
    <row r="203" spans="6:35" s="26" customFormat="1" x14ac:dyDescent="0.7"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</row>
    <row r="204" spans="6:35" s="26" customFormat="1" x14ac:dyDescent="0.7"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</row>
    <row r="205" spans="6:35" s="26" customFormat="1" x14ac:dyDescent="0.7"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</row>
    <row r="206" spans="6:35" s="26" customFormat="1" x14ac:dyDescent="0.7"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</row>
    <row r="207" spans="6:35" s="26" customFormat="1" x14ac:dyDescent="0.7"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</row>
    <row r="208" spans="6:35" s="26" customFormat="1" x14ac:dyDescent="0.7"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</row>
    <row r="209" spans="6:35" s="26" customFormat="1" x14ac:dyDescent="0.7"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</row>
    <row r="210" spans="6:35" s="26" customFormat="1" x14ac:dyDescent="0.7"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</row>
    <row r="211" spans="6:35" s="26" customFormat="1" x14ac:dyDescent="0.7"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</row>
    <row r="212" spans="6:35" s="26" customFormat="1" x14ac:dyDescent="0.7"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</row>
    <row r="213" spans="6:35" s="26" customFormat="1" x14ac:dyDescent="0.7"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</row>
    <row r="214" spans="6:35" s="26" customFormat="1" x14ac:dyDescent="0.7"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</row>
    <row r="215" spans="6:35" s="26" customFormat="1" x14ac:dyDescent="0.7"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</row>
    <row r="216" spans="6:35" s="26" customFormat="1" x14ac:dyDescent="0.7"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</row>
    <row r="217" spans="6:35" s="26" customFormat="1" x14ac:dyDescent="0.7"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</row>
    <row r="218" spans="6:35" s="26" customFormat="1" x14ac:dyDescent="0.7"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</row>
    <row r="219" spans="6:35" s="26" customFormat="1" x14ac:dyDescent="0.7"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</row>
    <row r="220" spans="6:35" s="26" customFormat="1" x14ac:dyDescent="0.7"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</row>
    <row r="221" spans="6:35" s="26" customFormat="1" x14ac:dyDescent="0.7"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</row>
    <row r="222" spans="6:35" s="26" customFormat="1" x14ac:dyDescent="0.7"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</row>
    <row r="223" spans="6:35" s="26" customFormat="1" x14ac:dyDescent="0.7"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</row>
    <row r="224" spans="6:35" s="26" customFormat="1" x14ac:dyDescent="0.7"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</row>
    <row r="225" spans="6:35" s="26" customFormat="1" x14ac:dyDescent="0.7"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</row>
    <row r="226" spans="6:35" s="26" customFormat="1" x14ac:dyDescent="0.7"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</row>
    <row r="227" spans="6:35" s="26" customFormat="1" x14ac:dyDescent="0.7"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</row>
    <row r="228" spans="6:35" s="26" customFormat="1" x14ac:dyDescent="0.7"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</row>
    <row r="229" spans="6:35" s="26" customFormat="1" x14ac:dyDescent="0.7"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</row>
    <row r="230" spans="6:35" s="26" customFormat="1" x14ac:dyDescent="0.7"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</row>
    <row r="231" spans="6:35" s="26" customFormat="1" x14ac:dyDescent="0.7"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</row>
    <row r="232" spans="6:35" s="26" customFormat="1" x14ac:dyDescent="0.7"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</row>
  </sheetData>
  <sortState xmlns:xlrd2="http://schemas.microsoft.com/office/spreadsheetml/2017/richdata2" ref="A2:AA232">
    <sortCondition ref="D1"/>
  </sortState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2"/>
  <sheetViews>
    <sheetView workbookViewId="0">
      <selection activeCell="A52" sqref="A52"/>
    </sheetView>
  </sheetViews>
  <sheetFormatPr defaultRowHeight="17.649999999999999" x14ac:dyDescent="0.7"/>
  <cols>
    <col min="1" max="1" width="14.375" customWidth="1"/>
    <col min="2" max="2" width="12.625" customWidth="1"/>
    <col min="3" max="3" width="11.875" customWidth="1"/>
    <col min="4" max="4" width="12.25" customWidth="1"/>
    <col min="5" max="6" width="11.5" customWidth="1"/>
    <col min="7" max="8" width="12.125" customWidth="1"/>
  </cols>
  <sheetData>
    <row r="1" spans="1:2" x14ac:dyDescent="0.7">
      <c r="A1">
        <v>20191112</v>
      </c>
      <c r="B1">
        <v>20191112</v>
      </c>
    </row>
    <row r="2" spans="1:2" s="26" customFormat="1" x14ac:dyDescent="0.7">
      <c r="A2" s="26">
        <v>342599567</v>
      </c>
      <c r="B2" s="26">
        <v>3</v>
      </c>
    </row>
  </sheetData>
  <phoneticPr fontId="1"/>
  <pageMargins left="0.7" right="0.7" top="0.75" bottom="0.75" header="0.3" footer="0.3"/>
  <pageSetup paperSize="9" orientation="portrait" horizontalDpi="12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J22"/>
  <sheetViews>
    <sheetView zoomScaleNormal="100" workbookViewId="0">
      <selection activeCell="F23" sqref="F23"/>
    </sheetView>
  </sheetViews>
  <sheetFormatPr defaultColWidth="8.875" defaultRowHeight="17.649999999999999" x14ac:dyDescent="0.7"/>
  <cols>
    <col min="1" max="1" width="10.5" customWidth="1"/>
    <col min="3" max="3" width="12.625" bestFit="1" customWidth="1"/>
  </cols>
  <sheetData>
    <row r="1" spans="1:10" x14ac:dyDescent="0.7">
      <c r="A1" s="6"/>
      <c r="B1" t="s">
        <v>23</v>
      </c>
      <c r="E1" t="s">
        <v>24</v>
      </c>
      <c r="H1" t="s">
        <v>25</v>
      </c>
    </row>
    <row r="2" spans="1:10" x14ac:dyDescent="0.7">
      <c r="B2" t="s">
        <v>26</v>
      </c>
      <c r="D2" t="s">
        <v>27</v>
      </c>
      <c r="E2" t="s">
        <v>26</v>
      </c>
      <c r="G2" t="s">
        <v>28</v>
      </c>
      <c r="H2" t="s">
        <v>26</v>
      </c>
      <c r="J2" t="s">
        <v>28</v>
      </c>
    </row>
    <row r="3" spans="1:10" x14ac:dyDescent="0.7">
      <c r="B3">
        <v>1</v>
      </c>
      <c r="C3" t="s">
        <v>29</v>
      </c>
      <c r="D3">
        <v>2501</v>
      </c>
      <c r="E3">
        <v>1</v>
      </c>
      <c r="F3" t="s">
        <v>29</v>
      </c>
      <c r="G3">
        <v>2001</v>
      </c>
      <c r="H3" s="7">
        <v>1</v>
      </c>
      <c r="I3" t="s">
        <v>29</v>
      </c>
      <c r="J3" s="7">
        <v>2011</v>
      </c>
    </row>
    <row r="4" spans="1:10" x14ac:dyDescent="0.7">
      <c r="B4">
        <v>2</v>
      </c>
      <c r="C4" t="s">
        <v>30</v>
      </c>
      <c r="D4">
        <v>2502</v>
      </c>
      <c r="E4">
        <v>2</v>
      </c>
      <c r="F4" t="s">
        <v>30</v>
      </c>
      <c r="G4">
        <v>2002</v>
      </c>
      <c r="H4" s="7">
        <v>2</v>
      </c>
      <c r="I4" t="s">
        <v>31</v>
      </c>
      <c r="J4" s="7">
        <v>2012</v>
      </c>
    </row>
    <row r="5" spans="1:10" x14ac:dyDescent="0.7">
      <c r="B5">
        <v>3</v>
      </c>
      <c r="C5" t="s">
        <v>32</v>
      </c>
      <c r="D5">
        <v>2503</v>
      </c>
      <c r="E5">
        <v>3</v>
      </c>
      <c r="F5" t="s">
        <v>32</v>
      </c>
      <c r="G5">
        <v>2003</v>
      </c>
      <c r="H5" s="7">
        <v>2</v>
      </c>
      <c r="I5" t="s">
        <v>33</v>
      </c>
      <c r="J5" s="7">
        <v>2013</v>
      </c>
    </row>
    <row r="6" spans="1:10" x14ac:dyDescent="0.7">
      <c r="B6">
        <v>4</v>
      </c>
      <c r="C6" t="s">
        <v>34</v>
      </c>
      <c r="D6">
        <v>2504</v>
      </c>
      <c r="E6">
        <v>4</v>
      </c>
      <c r="F6" t="s">
        <v>34</v>
      </c>
      <c r="G6">
        <v>2004</v>
      </c>
      <c r="H6" s="7">
        <v>3</v>
      </c>
      <c r="I6" t="s">
        <v>32</v>
      </c>
      <c r="J6" s="7">
        <v>2014</v>
      </c>
    </row>
    <row r="7" spans="1:10" x14ac:dyDescent="0.7">
      <c r="B7">
        <v>5</v>
      </c>
      <c r="C7" t="s">
        <v>35</v>
      </c>
      <c r="D7">
        <v>2505</v>
      </c>
      <c r="E7">
        <v>5</v>
      </c>
      <c r="F7" t="s">
        <v>35</v>
      </c>
      <c r="G7">
        <v>2005</v>
      </c>
      <c r="H7" s="7">
        <v>4</v>
      </c>
      <c r="I7" t="s">
        <v>34</v>
      </c>
      <c r="J7" s="7">
        <v>2015</v>
      </c>
    </row>
    <row r="8" spans="1:10" x14ac:dyDescent="0.7">
      <c r="B8">
        <v>6</v>
      </c>
      <c r="C8" t="s">
        <v>36</v>
      </c>
      <c r="D8">
        <v>2506</v>
      </c>
      <c r="E8">
        <v>6</v>
      </c>
      <c r="F8" t="s">
        <v>36</v>
      </c>
      <c r="G8">
        <v>2006</v>
      </c>
      <c r="H8" s="7">
        <v>5</v>
      </c>
      <c r="I8" t="s">
        <v>35</v>
      </c>
      <c r="J8" s="7">
        <v>2016</v>
      </c>
    </row>
    <row r="9" spans="1:10" x14ac:dyDescent="0.7">
      <c r="B9">
        <v>7</v>
      </c>
      <c r="C9" t="s">
        <v>37</v>
      </c>
      <c r="D9">
        <v>2507</v>
      </c>
      <c r="E9">
        <v>7</v>
      </c>
      <c r="F9" t="s">
        <v>37</v>
      </c>
      <c r="G9">
        <v>2007</v>
      </c>
      <c r="H9" s="7">
        <v>6</v>
      </c>
      <c r="I9" t="s">
        <v>36</v>
      </c>
      <c r="J9" s="7">
        <v>2017</v>
      </c>
    </row>
    <row r="10" spans="1:10" x14ac:dyDescent="0.7">
      <c r="B10">
        <v>8</v>
      </c>
      <c r="C10" t="s">
        <v>38</v>
      </c>
      <c r="D10">
        <v>2508</v>
      </c>
      <c r="E10">
        <v>8</v>
      </c>
      <c r="F10" t="s">
        <v>38</v>
      </c>
      <c r="G10">
        <v>2008</v>
      </c>
      <c r="H10" s="7">
        <v>7</v>
      </c>
      <c r="I10" t="s">
        <v>37</v>
      </c>
      <c r="J10" s="7">
        <v>2018</v>
      </c>
    </row>
    <row r="11" spans="1:10" x14ac:dyDescent="0.7">
      <c r="B11">
        <v>9</v>
      </c>
      <c r="C11" t="s">
        <v>39</v>
      </c>
      <c r="D11">
        <v>2509</v>
      </c>
      <c r="E11" s="7">
        <v>9</v>
      </c>
      <c r="F11" t="s">
        <v>40</v>
      </c>
      <c r="G11" s="7">
        <v>2009</v>
      </c>
      <c r="H11" s="7">
        <v>8</v>
      </c>
      <c r="I11" t="s">
        <v>38</v>
      </c>
      <c r="J11" s="7">
        <v>2019</v>
      </c>
    </row>
    <row r="12" spans="1:10" x14ac:dyDescent="0.7">
      <c r="B12">
        <v>10</v>
      </c>
      <c r="C12" t="s">
        <v>40</v>
      </c>
      <c r="D12" s="7">
        <v>2510</v>
      </c>
      <c r="H12" s="8">
        <v>9</v>
      </c>
      <c r="I12" t="s">
        <v>40</v>
      </c>
      <c r="J12" s="8">
        <v>2020</v>
      </c>
    </row>
    <row r="13" spans="1:10" x14ac:dyDescent="0.7">
      <c r="B13">
        <v>11</v>
      </c>
      <c r="C13" t="s">
        <v>41</v>
      </c>
      <c r="D13" s="8">
        <v>2521</v>
      </c>
      <c r="E13" s="7">
        <v>51</v>
      </c>
      <c r="F13" s="7" t="s">
        <v>42</v>
      </c>
      <c r="G13" s="7">
        <v>2101</v>
      </c>
      <c r="H13" s="7">
        <v>51</v>
      </c>
      <c r="I13" t="s">
        <v>42</v>
      </c>
      <c r="J13" s="8">
        <v>2111</v>
      </c>
    </row>
    <row r="14" spans="1:10" x14ac:dyDescent="0.7">
      <c r="B14">
        <v>51</v>
      </c>
      <c r="C14" t="s">
        <v>43</v>
      </c>
      <c r="D14" s="8">
        <v>2511</v>
      </c>
      <c r="E14">
        <v>61</v>
      </c>
      <c r="F14" t="s">
        <v>44</v>
      </c>
      <c r="G14">
        <v>2201</v>
      </c>
      <c r="H14" s="8">
        <v>61</v>
      </c>
      <c r="I14" t="s">
        <v>44</v>
      </c>
      <c r="J14" s="8">
        <v>2211</v>
      </c>
    </row>
    <row r="15" spans="1:10" x14ac:dyDescent="0.7">
      <c r="B15">
        <v>52</v>
      </c>
      <c r="C15" t="s">
        <v>45</v>
      </c>
      <c r="D15">
        <v>2512</v>
      </c>
      <c r="E15">
        <v>62</v>
      </c>
      <c r="F15" t="s">
        <v>46</v>
      </c>
      <c r="G15">
        <v>2202</v>
      </c>
      <c r="H15" s="8">
        <v>62</v>
      </c>
      <c r="I15" t="s">
        <v>46</v>
      </c>
      <c r="J15" s="8">
        <v>2212</v>
      </c>
    </row>
    <row r="16" spans="1:10" x14ac:dyDescent="0.7">
      <c r="B16">
        <v>53</v>
      </c>
      <c r="C16" t="s">
        <v>47</v>
      </c>
      <c r="D16">
        <v>2513</v>
      </c>
    </row>
    <row r="17" spans="2:10" x14ac:dyDescent="0.7">
      <c r="B17">
        <v>54</v>
      </c>
      <c r="C17" t="s">
        <v>48</v>
      </c>
      <c r="D17">
        <v>2514</v>
      </c>
      <c r="F17" t="s">
        <v>49</v>
      </c>
      <c r="G17">
        <v>2099</v>
      </c>
      <c r="I17" t="s">
        <v>49</v>
      </c>
      <c r="J17" s="7">
        <v>2099</v>
      </c>
    </row>
    <row r="18" spans="2:10" x14ac:dyDescent="0.7">
      <c r="B18">
        <v>55</v>
      </c>
      <c r="C18" t="s">
        <v>50</v>
      </c>
      <c r="D18">
        <v>2515</v>
      </c>
    </row>
    <row r="19" spans="2:10" x14ac:dyDescent="0.7">
      <c r="B19">
        <v>56</v>
      </c>
      <c r="C19" t="s">
        <v>51</v>
      </c>
      <c r="D19">
        <v>2516</v>
      </c>
    </row>
    <row r="20" spans="2:10" x14ac:dyDescent="0.7">
      <c r="B20">
        <v>57</v>
      </c>
      <c r="C20" t="s">
        <v>52</v>
      </c>
      <c r="D20">
        <v>2517</v>
      </c>
      <c r="F20" t="s">
        <v>53</v>
      </c>
    </row>
    <row r="21" spans="2:10" x14ac:dyDescent="0.7">
      <c r="F21" t="s">
        <v>54</v>
      </c>
    </row>
    <row r="22" spans="2:10" x14ac:dyDescent="0.7">
      <c r="C22" t="s">
        <v>49</v>
      </c>
      <c r="D22">
        <v>2599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M144"/>
  <sheetViews>
    <sheetView workbookViewId="0">
      <selection activeCell="G33" sqref="G33"/>
    </sheetView>
  </sheetViews>
  <sheetFormatPr defaultRowHeight="17.649999999999999" x14ac:dyDescent="0.7"/>
  <cols>
    <col min="1" max="1" width="20.125" style="24" customWidth="1"/>
    <col min="2" max="2" width="17.5" style="24" customWidth="1"/>
    <col min="3" max="3" width="14.25" customWidth="1"/>
  </cols>
  <sheetData>
    <row r="1" spans="1:13" x14ac:dyDescent="0.7">
      <c r="A1" s="24" t="s">
        <v>61</v>
      </c>
      <c r="B1" s="24" t="s">
        <v>62</v>
      </c>
      <c r="C1" t="s">
        <v>63</v>
      </c>
    </row>
    <row r="2" spans="1:13" s="26" customFormat="1" x14ac:dyDescent="0.7">
      <c r="A2" s="24">
        <v>43730.833333333336</v>
      </c>
      <c r="B2" s="24">
        <v>43730.875</v>
      </c>
      <c r="C2" s="26">
        <v>4</v>
      </c>
    </row>
    <row r="3" spans="1:13" s="26" customFormat="1" x14ac:dyDescent="0.7">
      <c r="A3" s="24">
        <v>43730.875</v>
      </c>
      <c r="B3" s="24">
        <v>43730.958333333336</v>
      </c>
      <c r="C3" s="26">
        <v>7</v>
      </c>
    </row>
    <row r="4" spans="1:13" s="22" customFormat="1" x14ac:dyDescent="0.7">
      <c r="A4" s="24">
        <v>43731.583333333336</v>
      </c>
      <c r="B4" s="24">
        <v>43731.625</v>
      </c>
      <c r="C4" s="22">
        <v>13</v>
      </c>
    </row>
    <row r="5" spans="1:13" s="22" customFormat="1" x14ac:dyDescent="0.7">
      <c r="A5" s="24">
        <v>43732.5</v>
      </c>
      <c r="B5" s="24">
        <v>43732.583333333336</v>
      </c>
      <c r="C5" s="22">
        <v>5</v>
      </c>
    </row>
    <row r="6" spans="1:13" s="22" customFormat="1" x14ac:dyDescent="0.7">
      <c r="A6" s="24">
        <v>43732.541666666664</v>
      </c>
      <c r="B6" s="24">
        <v>43732.625</v>
      </c>
      <c r="C6" s="22">
        <v>2</v>
      </c>
    </row>
    <row r="7" spans="1:13" s="22" customFormat="1" x14ac:dyDescent="0.7">
      <c r="A7" s="24">
        <v>43732.625</v>
      </c>
      <c r="B7" s="24">
        <v>43732.666666666664</v>
      </c>
      <c r="C7" s="22">
        <v>10</v>
      </c>
    </row>
    <row r="8" spans="1:13" s="22" customFormat="1" x14ac:dyDescent="0.7">
      <c r="A8" s="24">
        <v>43732.625</v>
      </c>
      <c r="B8" s="24">
        <v>43732.666666666664</v>
      </c>
      <c r="C8" s="22">
        <v>6</v>
      </c>
    </row>
    <row r="9" spans="1:13" s="22" customFormat="1" x14ac:dyDescent="0.7">
      <c r="A9" s="24">
        <v>43733.541666666664</v>
      </c>
      <c r="B9" s="24">
        <v>43733.583333333336</v>
      </c>
      <c r="C9" s="22">
        <v>11</v>
      </c>
    </row>
    <row r="10" spans="1:13" s="22" customFormat="1" x14ac:dyDescent="0.7">
      <c r="A10" s="24">
        <v>43733.541666666664</v>
      </c>
      <c r="B10" s="24">
        <v>43733.583333333336</v>
      </c>
      <c r="C10" s="22">
        <v>1</v>
      </c>
    </row>
    <row r="11" spans="1:13" s="22" customFormat="1" x14ac:dyDescent="0.7">
      <c r="A11" s="24">
        <v>43733.583333333336</v>
      </c>
      <c r="B11" s="24">
        <v>43733.625</v>
      </c>
      <c r="C11" s="22">
        <v>7</v>
      </c>
    </row>
    <row r="12" spans="1:13" s="22" customFormat="1" x14ac:dyDescent="0.7">
      <c r="A12" s="24">
        <v>43733.625</v>
      </c>
      <c r="B12" s="24">
        <v>43733.666666666664</v>
      </c>
      <c r="C12" s="22">
        <v>9</v>
      </c>
    </row>
    <row r="13" spans="1:13" s="22" customFormat="1" x14ac:dyDescent="0.7">
      <c r="A13" s="24">
        <v>43734.541666666664</v>
      </c>
      <c r="B13" s="24">
        <v>43734.583333333336</v>
      </c>
      <c r="C13" s="22">
        <v>2</v>
      </c>
    </row>
    <row r="14" spans="1:13" s="22" customFormat="1" x14ac:dyDescent="0.7">
      <c r="A14" s="24">
        <v>43734.5</v>
      </c>
      <c r="B14" s="24">
        <v>43734.583333333336</v>
      </c>
      <c r="C14" s="22">
        <v>1</v>
      </c>
    </row>
    <row r="15" spans="1:13" s="22" customFormat="1" x14ac:dyDescent="0.7">
      <c r="A15" s="24">
        <v>43734.583333333336</v>
      </c>
      <c r="B15" s="24">
        <v>43734.666666666664</v>
      </c>
      <c r="C15" s="22">
        <v>3</v>
      </c>
      <c r="L15" s="24"/>
      <c r="M15" s="24"/>
    </row>
    <row r="16" spans="1:13" s="22" customFormat="1" x14ac:dyDescent="0.7">
      <c r="A16" s="24">
        <v>43735.541666666664</v>
      </c>
      <c r="B16" s="24">
        <v>43735.583333333336</v>
      </c>
      <c r="C16" s="22">
        <v>8</v>
      </c>
      <c r="L16" s="24"/>
      <c r="M16" s="24"/>
    </row>
    <row r="17" spans="1:13" s="22" customFormat="1" x14ac:dyDescent="0.7">
      <c r="A17" s="24">
        <v>43735.541666666664</v>
      </c>
      <c r="B17" s="24">
        <v>43735.583333333336</v>
      </c>
      <c r="C17" s="22">
        <v>10</v>
      </c>
      <c r="L17" s="24"/>
      <c r="M17" s="24"/>
    </row>
    <row r="18" spans="1:13" s="22" customFormat="1" x14ac:dyDescent="0.7">
      <c r="A18" s="24">
        <v>43735.583333333336</v>
      </c>
      <c r="B18" s="24">
        <v>43735.625</v>
      </c>
      <c r="C18" s="22">
        <v>13</v>
      </c>
    </row>
    <row r="19" spans="1:13" s="22" customFormat="1" x14ac:dyDescent="0.7">
      <c r="A19" s="24">
        <v>43735.583333333336</v>
      </c>
      <c r="B19" s="24">
        <v>43735.666666666664</v>
      </c>
      <c r="C19" s="22">
        <v>4</v>
      </c>
    </row>
    <row r="20" spans="1:13" s="22" customFormat="1" x14ac:dyDescent="0.7">
      <c r="A20" s="24">
        <v>43768</v>
      </c>
      <c r="B20" s="24">
        <v>43768.208333333336</v>
      </c>
      <c r="C20" s="22">
        <v>3</v>
      </c>
    </row>
    <row r="21" spans="1:13" s="22" customFormat="1" x14ac:dyDescent="0.7">
      <c r="A21" s="24">
        <v>43770</v>
      </c>
      <c r="B21" s="24">
        <v>43770.083333333336</v>
      </c>
      <c r="C21" s="22">
        <v>4</v>
      </c>
    </row>
    <row r="22" spans="1:13" s="22" customFormat="1" x14ac:dyDescent="0.7">
      <c r="A22" s="24">
        <v>43778</v>
      </c>
      <c r="B22" s="24">
        <v>43778.833333333336</v>
      </c>
      <c r="C22" s="22">
        <v>0</v>
      </c>
    </row>
    <row r="23" spans="1:13" s="22" customFormat="1" x14ac:dyDescent="0.7">
      <c r="A23" s="24">
        <v>43778</v>
      </c>
      <c r="B23" s="24">
        <v>43778.833333333336</v>
      </c>
      <c r="C23" s="22">
        <v>0</v>
      </c>
    </row>
    <row r="24" spans="1:13" s="26" customFormat="1" x14ac:dyDescent="0.7">
      <c r="A24" s="4">
        <v>43781.666666666664</v>
      </c>
      <c r="B24" s="4">
        <v>43781.708333333336</v>
      </c>
      <c r="C24" s="26">
        <v>1</v>
      </c>
    </row>
    <row r="25" spans="1:13" s="22" customFormat="1" x14ac:dyDescent="0.7">
      <c r="A25" s="4">
        <v>43781.708333333336</v>
      </c>
      <c r="B25" s="4">
        <v>43781.75</v>
      </c>
      <c r="C25" s="26">
        <v>2</v>
      </c>
    </row>
    <row r="26" spans="1:13" s="22" customFormat="1" x14ac:dyDescent="0.7">
      <c r="A26" s="24">
        <v>43781.708333333336</v>
      </c>
      <c r="B26" s="24">
        <v>43781.791666666664</v>
      </c>
      <c r="C26" s="26">
        <v>3</v>
      </c>
    </row>
    <row r="27" spans="1:13" s="26" customFormat="1" x14ac:dyDescent="0.7">
      <c r="A27" s="24">
        <v>43781.75</v>
      </c>
      <c r="B27" s="24">
        <v>43781.791666666664</v>
      </c>
      <c r="C27" s="26">
        <v>4</v>
      </c>
    </row>
    <row r="28" spans="1:13" s="26" customFormat="1" x14ac:dyDescent="0.7">
      <c r="A28" s="24">
        <v>43781.784062500003</v>
      </c>
      <c r="B28" s="24">
        <v>43781.794479166667</v>
      </c>
      <c r="C28" s="26">
        <v>3</v>
      </c>
    </row>
    <row r="29" spans="1:13" s="26" customFormat="1" x14ac:dyDescent="0.7">
      <c r="A29" s="24">
        <v>43781.784756944442</v>
      </c>
      <c r="B29" s="24">
        <v>43781.795173611114</v>
      </c>
      <c r="C29" s="26">
        <v>2</v>
      </c>
    </row>
    <row r="30" spans="1:13" s="26" customFormat="1" x14ac:dyDescent="0.7">
      <c r="A30" s="24">
        <v>43782.068923611114</v>
      </c>
      <c r="B30" s="24">
        <v>43782.069803240738</v>
      </c>
      <c r="C30" s="26">
        <v>6</v>
      </c>
    </row>
    <row r="31" spans="1:13" s="22" customFormat="1" x14ac:dyDescent="0.7">
      <c r="A31" s="24">
        <v>43782</v>
      </c>
      <c r="B31" s="24">
        <v>43782.070972222224</v>
      </c>
      <c r="C31" s="22">
        <v>2</v>
      </c>
    </row>
    <row r="32" spans="1:13" s="26" customFormat="1" x14ac:dyDescent="0.7">
      <c r="A32" s="24">
        <v>43782.075254629628</v>
      </c>
      <c r="B32" s="24">
        <v>43782.158587962964</v>
      </c>
      <c r="C32" s="26">
        <v>7</v>
      </c>
    </row>
    <row r="33" spans="1:2" s="22" customFormat="1" x14ac:dyDescent="0.7">
      <c r="A33" s="24"/>
      <c r="B33" s="24"/>
    </row>
    <row r="34" spans="1:2" s="22" customFormat="1" x14ac:dyDescent="0.7">
      <c r="A34" s="24"/>
      <c r="B34" s="24"/>
    </row>
    <row r="35" spans="1:2" s="22" customFormat="1" x14ac:dyDescent="0.7">
      <c r="A35" s="24"/>
      <c r="B35" s="24"/>
    </row>
    <row r="36" spans="1:2" s="22" customFormat="1" x14ac:dyDescent="0.7">
      <c r="A36" s="24"/>
      <c r="B36" s="24"/>
    </row>
    <row r="37" spans="1:2" s="22" customFormat="1" x14ac:dyDescent="0.7">
      <c r="A37" s="24"/>
      <c r="B37" s="24"/>
    </row>
    <row r="38" spans="1:2" s="22" customFormat="1" x14ac:dyDescent="0.7">
      <c r="A38" s="24"/>
      <c r="B38" s="24"/>
    </row>
    <row r="39" spans="1:2" s="22" customFormat="1" x14ac:dyDescent="0.7">
      <c r="A39" s="24"/>
      <c r="B39" s="24"/>
    </row>
    <row r="40" spans="1:2" s="22" customFormat="1" x14ac:dyDescent="0.7">
      <c r="A40" s="24"/>
      <c r="B40" s="24"/>
    </row>
    <row r="41" spans="1:2" s="22" customFormat="1" x14ac:dyDescent="0.7">
      <c r="A41" s="24"/>
      <c r="B41" s="24"/>
    </row>
    <row r="42" spans="1:2" s="22" customFormat="1" x14ac:dyDescent="0.7">
      <c r="A42" s="24"/>
      <c r="B42" s="24"/>
    </row>
    <row r="43" spans="1:2" s="22" customFormat="1" x14ac:dyDescent="0.7">
      <c r="A43" s="24"/>
      <c r="B43" s="24"/>
    </row>
    <row r="44" spans="1:2" s="22" customFormat="1" x14ac:dyDescent="0.7">
      <c r="A44" s="24"/>
      <c r="B44" s="24"/>
    </row>
    <row r="45" spans="1:2" s="22" customFormat="1" x14ac:dyDescent="0.7">
      <c r="A45" s="24"/>
      <c r="B45" s="24"/>
    </row>
    <row r="46" spans="1:2" s="22" customFormat="1" x14ac:dyDescent="0.7">
      <c r="A46" s="24"/>
      <c r="B46" s="24"/>
    </row>
    <row r="47" spans="1:2" s="22" customFormat="1" x14ac:dyDescent="0.7">
      <c r="A47" s="24"/>
      <c r="B47" s="24"/>
    </row>
    <row r="48" spans="1:2" s="22" customFormat="1" x14ac:dyDescent="0.7">
      <c r="A48" s="24"/>
      <c r="B48" s="24"/>
    </row>
    <row r="49" spans="1:4" s="22" customFormat="1" x14ac:dyDescent="0.7">
      <c r="A49" s="24"/>
      <c r="B49" s="24"/>
    </row>
    <row r="50" spans="1:4" s="22" customFormat="1" x14ac:dyDescent="0.7">
      <c r="A50" s="24"/>
      <c r="B50" s="24"/>
    </row>
    <row r="51" spans="1:4" s="22" customFormat="1" x14ac:dyDescent="0.7">
      <c r="A51" s="24"/>
      <c r="B51" s="24"/>
    </row>
    <row r="52" spans="1:4" s="22" customFormat="1" x14ac:dyDescent="0.7">
      <c r="A52" s="24"/>
      <c r="B52" s="24"/>
    </row>
    <row r="53" spans="1:4" x14ac:dyDescent="0.7">
      <c r="A53" s="4"/>
      <c r="C53" s="3"/>
      <c r="D53" s="3"/>
    </row>
    <row r="54" spans="1:4" s="22" customFormat="1" x14ac:dyDescent="0.7">
      <c r="A54" s="4"/>
      <c r="B54" s="24"/>
      <c r="C54" s="3"/>
      <c r="D54" s="3"/>
    </row>
    <row r="55" spans="1:4" s="22" customFormat="1" x14ac:dyDescent="0.7">
      <c r="A55" s="4"/>
      <c r="B55" s="24"/>
      <c r="C55" s="3"/>
      <c r="D55" s="3"/>
    </row>
    <row r="56" spans="1:4" s="22" customFormat="1" x14ac:dyDescent="0.7">
      <c r="A56" s="4"/>
      <c r="B56" s="24"/>
      <c r="C56" s="3"/>
      <c r="D56" s="3"/>
    </row>
    <row r="57" spans="1:4" s="22" customFormat="1" x14ac:dyDescent="0.7">
      <c r="A57" s="4"/>
      <c r="B57" s="24"/>
      <c r="C57" s="3"/>
      <c r="D57" s="3"/>
    </row>
    <row r="58" spans="1:4" s="22" customFormat="1" x14ac:dyDescent="0.7">
      <c r="A58" s="4"/>
      <c r="B58" s="24"/>
      <c r="C58" s="3"/>
      <c r="D58" s="3"/>
    </row>
    <row r="59" spans="1:4" s="22" customFormat="1" x14ac:dyDescent="0.7">
      <c r="A59" s="4"/>
      <c r="B59" s="24"/>
      <c r="C59" s="3"/>
      <c r="D59" s="3"/>
    </row>
    <row r="60" spans="1:4" s="22" customFormat="1" x14ac:dyDescent="0.7">
      <c r="A60" s="4"/>
      <c r="B60" s="24"/>
      <c r="C60" s="3"/>
      <c r="D60" s="3"/>
    </row>
    <row r="61" spans="1:4" s="22" customFormat="1" x14ac:dyDescent="0.7">
      <c r="A61" s="4"/>
      <c r="B61" s="24"/>
      <c r="C61" s="3"/>
      <c r="D61" s="3"/>
    </row>
    <row r="62" spans="1:4" s="22" customFormat="1" x14ac:dyDescent="0.7">
      <c r="A62" s="4"/>
      <c r="B62" s="24"/>
      <c r="C62" s="3"/>
      <c r="D62" s="3"/>
    </row>
    <row r="63" spans="1:4" s="22" customFormat="1" x14ac:dyDescent="0.7">
      <c r="A63" s="4"/>
      <c r="B63" s="24"/>
      <c r="C63" s="3"/>
      <c r="D63" s="3"/>
    </row>
    <row r="64" spans="1:4" s="22" customFormat="1" x14ac:dyDescent="0.7">
      <c r="A64" s="4"/>
      <c r="B64" s="24"/>
      <c r="C64" s="3"/>
      <c r="D64" s="3"/>
    </row>
    <row r="65" spans="1:4" s="22" customFormat="1" x14ac:dyDescent="0.7">
      <c r="A65" s="4"/>
      <c r="B65" s="24"/>
      <c r="C65" s="3"/>
      <c r="D65" s="3"/>
    </row>
    <row r="66" spans="1:4" s="22" customFormat="1" x14ac:dyDescent="0.7">
      <c r="A66" s="4"/>
      <c r="B66" s="24"/>
      <c r="C66" s="3"/>
      <c r="D66" s="3"/>
    </row>
    <row r="67" spans="1:4" s="22" customFormat="1" x14ac:dyDescent="0.7">
      <c r="A67" s="4"/>
      <c r="B67" s="24"/>
      <c r="C67" s="3"/>
      <c r="D67" s="3"/>
    </row>
    <row r="68" spans="1:4" s="22" customFormat="1" x14ac:dyDescent="0.7">
      <c r="A68" s="4"/>
      <c r="B68" s="24"/>
      <c r="C68" s="3"/>
      <c r="D68" s="3"/>
    </row>
    <row r="69" spans="1:4" s="22" customFormat="1" x14ac:dyDescent="0.7">
      <c r="A69" s="4"/>
      <c r="B69" s="24"/>
      <c r="C69" s="3"/>
      <c r="D69" s="3"/>
    </row>
    <row r="70" spans="1:4" s="22" customFormat="1" x14ac:dyDescent="0.7">
      <c r="A70" s="4"/>
      <c r="B70" s="24"/>
      <c r="C70" s="3"/>
      <c r="D70" s="3"/>
    </row>
    <row r="71" spans="1:4" s="22" customFormat="1" x14ac:dyDescent="0.7">
      <c r="A71" s="4"/>
      <c r="B71" s="24"/>
      <c r="C71" s="3"/>
      <c r="D71" s="3"/>
    </row>
    <row r="72" spans="1:4" x14ac:dyDescent="0.7">
      <c r="A72" s="4"/>
      <c r="C72" s="3"/>
      <c r="D72" s="3"/>
    </row>
    <row r="73" spans="1:4" x14ac:dyDescent="0.7">
      <c r="A73" s="4"/>
      <c r="C73" s="3"/>
      <c r="D73" s="3"/>
    </row>
    <row r="74" spans="1:4" x14ac:dyDescent="0.7">
      <c r="A74" s="4"/>
      <c r="C74" s="3"/>
      <c r="D74" s="3"/>
    </row>
    <row r="75" spans="1:4" x14ac:dyDescent="0.7">
      <c r="A75" s="4"/>
      <c r="C75" s="3"/>
      <c r="D75" s="3"/>
    </row>
    <row r="76" spans="1:4" x14ac:dyDescent="0.7">
      <c r="A76" s="4"/>
      <c r="C76" s="3"/>
      <c r="D76" s="3"/>
    </row>
    <row r="77" spans="1:4" s="22" customFormat="1" x14ac:dyDescent="0.7">
      <c r="A77" s="4"/>
      <c r="B77" s="24"/>
      <c r="C77" s="3"/>
      <c r="D77" s="3"/>
    </row>
    <row r="78" spans="1:4" s="22" customFormat="1" x14ac:dyDescent="0.7">
      <c r="A78" s="4"/>
      <c r="B78" s="24"/>
      <c r="C78" s="3"/>
      <c r="D78" s="3"/>
    </row>
    <row r="79" spans="1:4" s="22" customFormat="1" x14ac:dyDescent="0.7">
      <c r="A79" s="4"/>
      <c r="B79" s="24"/>
      <c r="C79" s="3"/>
      <c r="D79" s="3"/>
    </row>
    <row r="80" spans="1:4" s="22" customFormat="1" x14ac:dyDescent="0.7">
      <c r="A80" s="4"/>
      <c r="B80" s="24"/>
      <c r="C80" s="3"/>
      <c r="D80" s="3"/>
    </row>
    <row r="81" spans="1:4" s="22" customFormat="1" x14ac:dyDescent="0.7">
      <c r="A81" s="4"/>
      <c r="B81" s="24"/>
      <c r="C81" s="3"/>
      <c r="D81" s="3"/>
    </row>
    <row r="82" spans="1:4" s="22" customFormat="1" x14ac:dyDescent="0.7">
      <c r="A82" s="4"/>
      <c r="B82" s="24"/>
      <c r="C82" s="3"/>
      <c r="D82" s="3"/>
    </row>
    <row r="83" spans="1:4" s="22" customFormat="1" x14ac:dyDescent="0.7">
      <c r="A83" s="4"/>
      <c r="B83" s="24"/>
      <c r="C83" s="3"/>
      <c r="D83" s="3"/>
    </row>
    <row r="84" spans="1:4" s="22" customFormat="1" x14ac:dyDescent="0.7">
      <c r="A84" s="4"/>
      <c r="B84" s="24"/>
      <c r="C84" s="3"/>
      <c r="D84" s="3"/>
    </row>
    <row r="85" spans="1:4" s="22" customFormat="1" x14ac:dyDescent="0.7">
      <c r="A85" s="4"/>
      <c r="B85" s="24"/>
      <c r="C85" s="3"/>
      <c r="D85" s="3"/>
    </row>
    <row r="86" spans="1:4" s="22" customFormat="1" x14ac:dyDescent="0.7">
      <c r="A86" s="4"/>
      <c r="B86" s="24"/>
      <c r="C86" s="3"/>
      <c r="D86" s="3"/>
    </row>
    <row r="87" spans="1:4" s="22" customFormat="1" x14ac:dyDescent="0.7">
      <c r="A87" s="4"/>
      <c r="B87" s="24"/>
      <c r="C87" s="3"/>
      <c r="D87" s="3"/>
    </row>
    <row r="88" spans="1:4" s="22" customFormat="1" x14ac:dyDescent="0.7">
      <c r="A88" s="4"/>
      <c r="B88" s="24"/>
      <c r="C88" s="3"/>
      <c r="D88" s="3"/>
    </row>
    <row r="89" spans="1:4" s="22" customFormat="1" x14ac:dyDescent="0.7">
      <c r="A89" s="24"/>
      <c r="B89" s="24"/>
      <c r="C89" s="3"/>
    </row>
    <row r="90" spans="1:4" s="22" customFormat="1" x14ac:dyDescent="0.7">
      <c r="A90" s="24"/>
      <c r="B90" s="24"/>
      <c r="C90" s="3"/>
    </row>
    <row r="91" spans="1:4" s="22" customFormat="1" x14ac:dyDescent="0.7">
      <c r="A91" s="24"/>
      <c r="B91" s="24"/>
      <c r="C91" s="3"/>
    </row>
    <row r="92" spans="1:4" s="22" customFormat="1" x14ac:dyDescent="0.7">
      <c r="A92" s="24"/>
      <c r="B92" s="24"/>
      <c r="C92" s="3"/>
    </row>
    <row r="93" spans="1:4" s="22" customFormat="1" x14ac:dyDescent="0.7">
      <c r="A93" s="24"/>
      <c r="B93" s="24"/>
      <c r="C93" s="3"/>
    </row>
    <row r="94" spans="1:4" s="22" customFormat="1" x14ac:dyDescent="0.7">
      <c r="A94" s="24"/>
      <c r="B94" s="24"/>
      <c r="C94" s="3"/>
    </row>
    <row r="95" spans="1:4" s="22" customFormat="1" x14ac:dyDescent="0.7">
      <c r="A95" s="24"/>
      <c r="B95" s="24"/>
      <c r="C95"/>
    </row>
    <row r="96" spans="1:4" s="22" customFormat="1" x14ac:dyDescent="0.7">
      <c r="A96" s="24"/>
      <c r="B96" s="24"/>
      <c r="C96"/>
    </row>
    <row r="97" spans="1:3" s="22" customFormat="1" x14ac:dyDescent="0.7">
      <c r="A97" s="24"/>
      <c r="B97" s="24"/>
      <c r="C97"/>
    </row>
    <row r="98" spans="1:3" s="22" customFormat="1" x14ac:dyDescent="0.7">
      <c r="A98" s="24"/>
      <c r="B98" s="24"/>
      <c r="C98"/>
    </row>
    <row r="99" spans="1:3" s="22" customFormat="1" x14ac:dyDescent="0.7">
      <c r="A99" s="24"/>
      <c r="B99" s="24"/>
      <c r="C99"/>
    </row>
    <row r="100" spans="1:3" s="22" customFormat="1" x14ac:dyDescent="0.7">
      <c r="A100" s="24"/>
      <c r="B100" s="24"/>
      <c r="C100"/>
    </row>
    <row r="101" spans="1:3" s="22" customFormat="1" x14ac:dyDescent="0.7">
      <c r="A101" s="24"/>
      <c r="B101" s="24"/>
      <c r="C101"/>
    </row>
    <row r="102" spans="1:3" s="22" customFormat="1" x14ac:dyDescent="0.7">
      <c r="A102" s="24"/>
      <c r="B102" s="24"/>
      <c r="C102"/>
    </row>
    <row r="103" spans="1:3" s="22" customFormat="1" x14ac:dyDescent="0.7">
      <c r="A103" s="24"/>
      <c r="B103" s="24"/>
      <c r="C103"/>
    </row>
    <row r="104" spans="1:3" s="22" customFormat="1" x14ac:dyDescent="0.7">
      <c r="A104" s="24"/>
      <c r="B104" s="24"/>
      <c r="C104"/>
    </row>
    <row r="105" spans="1:3" s="22" customFormat="1" x14ac:dyDescent="0.7">
      <c r="A105" s="24"/>
      <c r="B105" s="24"/>
      <c r="C105"/>
    </row>
    <row r="106" spans="1:3" s="22" customFormat="1" x14ac:dyDescent="0.7">
      <c r="A106" s="24"/>
      <c r="B106" s="24"/>
      <c r="C106"/>
    </row>
    <row r="107" spans="1:3" s="22" customFormat="1" x14ac:dyDescent="0.7">
      <c r="A107" s="24"/>
      <c r="B107" s="24"/>
      <c r="C107"/>
    </row>
    <row r="108" spans="1:3" s="22" customFormat="1" x14ac:dyDescent="0.7">
      <c r="A108" s="24"/>
      <c r="B108" s="24"/>
      <c r="C108"/>
    </row>
    <row r="109" spans="1:3" s="22" customFormat="1" x14ac:dyDescent="0.7">
      <c r="A109" s="24"/>
      <c r="B109" s="24"/>
      <c r="C109"/>
    </row>
    <row r="110" spans="1:3" s="22" customFormat="1" x14ac:dyDescent="0.7">
      <c r="A110" s="24"/>
      <c r="B110" s="24"/>
      <c r="C110"/>
    </row>
    <row r="111" spans="1:3" s="22" customFormat="1" x14ac:dyDescent="0.7">
      <c r="A111" s="24"/>
      <c r="B111" s="24"/>
      <c r="C111"/>
    </row>
    <row r="112" spans="1:3" s="22" customFormat="1" x14ac:dyDescent="0.7">
      <c r="A112" s="24"/>
      <c r="B112" s="24"/>
      <c r="C112"/>
    </row>
    <row r="113" spans="1:3" s="22" customFormat="1" x14ac:dyDescent="0.7">
      <c r="A113" s="24"/>
      <c r="B113" s="24"/>
      <c r="C113"/>
    </row>
    <row r="114" spans="1:3" s="22" customFormat="1" x14ac:dyDescent="0.7">
      <c r="A114" s="24"/>
      <c r="B114" s="24"/>
      <c r="C114"/>
    </row>
    <row r="115" spans="1:3" s="22" customFormat="1" x14ac:dyDescent="0.7">
      <c r="A115" s="24"/>
      <c r="B115" s="24"/>
      <c r="C115"/>
    </row>
    <row r="116" spans="1:3" s="22" customFormat="1" x14ac:dyDescent="0.7">
      <c r="A116" s="24"/>
      <c r="B116" s="24"/>
      <c r="C116"/>
    </row>
    <row r="117" spans="1:3" s="22" customFormat="1" x14ac:dyDescent="0.7">
      <c r="A117" s="24"/>
      <c r="B117" s="24"/>
      <c r="C117"/>
    </row>
    <row r="118" spans="1:3" s="22" customFormat="1" x14ac:dyDescent="0.7">
      <c r="A118" s="24"/>
      <c r="B118" s="24"/>
      <c r="C118"/>
    </row>
    <row r="119" spans="1:3" s="22" customFormat="1" x14ac:dyDescent="0.7">
      <c r="A119" s="24"/>
      <c r="B119" s="24"/>
      <c r="C119"/>
    </row>
    <row r="120" spans="1:3" s="22" customFormat="1" x14ac:dyDescent="0.7">
      <c r="A120" s="24"/>
      <c r="B120" s="24"/>
      <c r="C120"/>
    </row>
    <row r="121" spans="1:3" s="22" customFormat="1" x14ac:dyDescent="0.7">
      <c r="A121" s="24"/>
      <c r="B121" s="24"/>
      <c r="C121"/>
    </row>
    <row r="122" spans="1:3" s="22" customFormat="1" x14ac:dyDescent="0.7">
      <c r="A122" s="24"/>
      <c r="B122" s="24"/>
      <c r="C122"/>
    </row>
    <row r="123" spans="1:3" s="22" customFormat="1" x14ac:dyDescent="0.7">
      <c r="A123" s="24"/>
      <c r="B123" s="24"/>
      <c r="C123"/>
    </row>
    <row r="124" spans="1:3" s="22" customFormat="1" x14ac:dyDescent="0.7">
      <c r="A124" s="24"/>
      <c r="B124" s="24"/>
      <c r="C124"/>
    </row>
    <row r="125" spans="1:3" s="22" customFormat="1" x14ac:dyDescent="0.7">
      <c r="A125" s="24"/>
      <c r="B125" s="24"/>
      <c r="C125"/>
    </row>
    <row r="126" spans="1:3" s="22" customFormat="1" x14ac:dyDescent="0.7">
      <c r="A126" s="24"/>
      <c r="B126" s="24"/>
      <c r="C126"/>
    </row>
    <row r="127" spans="1:3" s="22" customFormat="1" x14ac:dyDescent="0.7">
      <c r="A127" s="24"/>
      <c r="B127" s="24"/>
      <c r="C127"/>
    </row>
    <row r="128" spans="1:3" s="22" customFormat="1" x14ac:dyDescent="0.7">
      <c r="A128" s="24"/>
      <c r="B128" s="24"/>
      <c r="C128"/>
    </row>
    <row r="129" spans="1:3" s="22" customFormat="1" x14ac:dyDescent="0.7">
      <c r="A129" s="24"/>
      <c r="B129" s="24"/>
      <c r="C129"/>
    </row>
    <row r="130" spans="1:3" s="22" customFormat="1" x14ac:dyDescent="0.7">
      <c r="A130" s="24"/>
      <c r="B130" s="24"/>
      <c r="C130"/>
    </row>
    <row r="131" spans="1:3" s="22" customFormat="1" x14ac:dyDescent="0.7">
      <c r="A131" s="24"/>
      <c r="B131" s="24"/>
      <c r="C131"/>
    </row>
    <row r="132" spans="1:3" s="22" customFormat="1" x14ac:dyDescent="0.7">
      <c r="A132" s="24"/>
      <c r="B132" s="24"/>
      <c r="C132"/>
    </row>
    <row r="133" spans="1:3" s="22" customFormat="1" x14ac:dyDescent="0.7">
      <c r="A133" s="24"/>
      <c r="B133" s="24"/>
      <c r="C133"/>
    </row>
    <row r="134" spans="1:3" s="22" customFormat="1" x14ac:dyDescent="0.7">
      <c r="A134" s="24"/>
      <c r="B134" s="24"/>
      <c r="C134"/>
    </row>
    <row r="135" spans="1:3" s="22" customFormat="1" x14ac:dyDescent="0.7">
      <c r="A135" s="24"/>
      <c r="B135" s="24"/>
      <c r="C135"/>
    </row>
    <row r="136" spans="1:3" s="22" customFormat="1" x14ac:dyDescent="0.7">
      <c r="A136" s="24"/>
      <c r="B136" s="24"/>
      <c r="C136"/>
    </row>
    <row r="137" spans="1:3" s="22" customFormat="1" x14ac:dyDescent="0.7">
      <c r="A137" s="24"/>
      <c r="B137" s="24"/>
      <c r="C137"/>
    </row>
    <row r="138" spans="1:3" s="22" customFormat="1" x14ac:dyDescent="0.7">
      <c r="A138" s="24"/>
      <c r="B138" s="24"/>
      <c r="C138"/>
    </row>
    <row r="139" spans="1:3" s="22" customFormat="1" x14ac:dyDescent="0.7">
      <c r="A139" s="24"/>
      <c r="B139" s="24"/>
      <c r="C139"/>
    </row>
    <row r="140" spans="1:3" s="22" customFormat="1" x14ac:dyDescent="0.7">
      <c r="A140" s="24"/>
      <c r="B140" s="24"/>
      <c r="C140"/>
    </row>
    <row r="141" spans="1:3" s="22" customFormat="1" x14ac:dyDescent="0.7">
      <c r="A141" s="24"/>
      <c r="B141" s="24"/>
      <c r="C141"/>
    </row>
    <row r="142" spans="1:3" s="22" customFormat="1" x14ac:dyDescent="0.7">
      <c r="A142" s="24"/>
      <c r="B142" s="24"/>
      <c r="C142"/>
    </row>
    <row r="143" spans="1:3" s="22" customFormat="1" x14ac:dyDescent="0.7">
      <c r="A143" s="24"/>
      <c r="B143" s="24"/>
      <c r="C143"/>
    </row>
    <row r="144" spans="1:3" s="22" customFormat="1" x14ac:dyDescent="0.7">
      <c r="A144" s="24"/>
      <c r="B144" s="24"/>
      <c r="C144"/>
    </row>
  </sheetData>
  <sortState xmlns:xlrd2="http://schemas.microsoft.com/office/spreadsheetml/2017/richdata2" ref="A2:C144">
    <sortCondition ref="B1"/>
  </sortState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mport_Shift">
                <anchor>
                  <from>
                    <xdr:col>3</xdr:col>
                    <xdr:colOff>361950</xdr:colOff>
                    <xdr:row>2</xdr:row>
                    <xdr:rowOff>0</xdr:rowOff>
                  </from>
                  <to>
                    <xdr:col>5</xdr:col>
                    <xdr:colOff>476250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BC22D-F000-45AB-A5B0-2FDD0AF650C2}">
  <sheetPr codeName="Sheet4"/>
  <dimension ref="A1:A7"/>
  <sheetViews>
    <sheetView workbookViewId="0">
      <selection activeCell="G22" sqref="G22"/>
    </sheetView>
  </sheetViews>
  <sheetFormatPr defaultRowHeight="17.649999999999999" x14ac:dyDescent="0.7"/>
  <cols>
    <col min="1" max="1" width="12.125" bestFit="1" customWidth="1"/>
  </cols>
  <sheetData>
    <row r="1" spans="1:1" s="26" customFormat="1" x14ac:dyDescent="0.7">
      <c r="A1" s="26">
        <v>192202015</v>
      </c>
    </row>
    <row r="2" spans="1:1" s="26" customFormat="1" x14ac:dyDescent="0.7"/>
    <row r="3" spans="1:1" s="26" customFormat="1" x14ac:dyDescent="0.7"/>
    <row r="5" spans="1:1" s="26" customFormat="1" x14ac:dyDescent="0.7"/>
    <row r="7" spans="1:1" s="26" customFormat="1" x14ac:dyDescent="0.7"/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メイン</vt:lpstr>
      <vt:lpstr>出力</vt:lpstr>
      <vt:lpstr>入力</vt:lpstr>
      <vt:lpstr>生データ</vt:lpstr>
      <vt:lpstr>重複チェック</vt:lpstr>
      <vt:lpstr>学科コード表</vt:lpstr>
      <vt:lpstr>シフト表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ゆい</dc:creator>
  <cp:lastModifiedBy>原田唯衣</cp:lastModifiedBy>
  <cp:lastPrinted>2019-07-28T14:53:38Z</cp:lastPrinted>
  <dcterms:created xsi:type="dcterms:W3CDTF">2019-06-11T08:04:49Z</dcterms:created>
  <dcterms:modified xsi:type="dcterms:W3CDTF">2019-11-12T16:48:45Z</dcterms:modified>
</cp:coreProperties>
</file>