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C9F4B671-3E5F-4D16-A78A-B4339479DE95}" xr6:coauthVersionLast="41" xr6:coauthVersionMax="41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INDEX(出力!$B$1:$B$13,MATCH(メイン!$O$1,出力!$A$1:$A$13,1))</definedName>
    <definedName name="sample2">INDEX(出力!$B$1:$B$13,MATCH(メイン!$P$1,出力!$A$1:$A$13,1))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AC2" i="4"/>
  <c r="AE4" i="4" l="1"/>
  <c r="K2" i="4"/>
  <c r="C13" i="4" l="1"/>
  <c r="C12" i="4"/>
  <c r="C21" i="4" l="1"/>
  <c r="E22" i="4" s="1"/>
  <c r="D4" i="4" s="1"/>
  <c r="D23" i="4" l="1"/>
  <c r="C5" i="4" s="1"/>
  <c r="F22" i="4"/>
  <c r="E4" i="4" s="1"/>
  <c r="J24" i="4"/>
  <c r="G24" i="4"/>
  <c r="F26" i="4"/>
  <c r="E8" i="4" s="1"/>
  <c r="H23" i="4"/>
  <c r="G5" i="4" s="1"/>
  <c r="I25" i="4"/>
  <c r="E23" i="4"/>
  <c r="D5" i="4" s="1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F6" i="4"/>
  <c r="I6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C6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H5" i="4"/>
  <c r="H4" i="4"/>
  <c r="H7" i="4"/>
  <c r="G8" i="4"/>
  <c r="G6" i="4"/>
  <c r="G7" i="4"/>
</calcChain>
</file>

<file path=xl/sharedStrings.xml><?xml version="1.0" encoding="utf-8"?>
<sst xmlns="http://schemas.openxmlformats.org/spreadsheetml/2006/main" count="162" uniqueCount="106">
  <si>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</si>
  <si>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</si>
  <si>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</si>
  <si>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</si>
  <si>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</si>
  <si>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</si>
  <si>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</si>
  <si>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</si>
  <si>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</si>
  <si>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</si>
  <si>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</si>
  <si>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</si>
  <si>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</si>
  <si>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</si>
  <si>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</si>
  <si>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</si>
  <si>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</si>
  <si>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</si>
  <si>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</si>
  <si>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</si>
  <si>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</si>
  <si>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</si>
  <si>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</si>
  <si>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</si>
  <si>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</si>
  <si>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</si>
  <si>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</si>
  <si>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</si>
  <si>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</si>
  <si>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</si>
  <si>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</si>
  <si>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</si>
  <si>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</si>
  <si>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</si>
  <si>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</si>
  <si>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</si>
  <si>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</si>
  <si>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</si>
  <si>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</si>
  <si>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</si>
  <si>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</si>
  <si>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</si>
  <si>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</si>
  <si>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</si>
  <si>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</si>
  <si>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</si>
  <si>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</si>
  <si>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</si>
  <si>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</si>
  <si>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</si>
  <si>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</si>
  <si>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</si>
  <si>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</si>
  <si>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</si>
  <si>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</si>
  <si>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</si>
  <si>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</si>
  <si>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</si>
  <si>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</si>
  <si>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</si>
  <si>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</si>
  <si>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</si>
  <si>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</si>
  <si>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</si>
  <si>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</si>
  <si>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</si>
  <si>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</si>
  <si>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</si>
  <si>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</si>
  <si>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</si>
  <si>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</si>
  <si>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</si>
  <si>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</si>
  <si>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</si>
  <si>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</si>
  <si>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</si>
  <si>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</si>
  <si>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</si>
  <si>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</si>
  <si>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</si>
  <si>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</si>
  <si>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</si>
  <si>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</si>
  <si>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</si>
  <si>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</si>
  <si>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</si>
  <si>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</si>
  <si>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</si>
  <si>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</si>
  <si>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</si>
  <si>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seven</t>
    <phoneticPr fontId="1"/>
  </si>
  <si>
    <t>nine</t>
    <phoneticPr fontId="1"/>
  </si>
  <si>
    <t>ten</t>
    <phoneticPr fontId="1"/>
  </si>
  <si>
    <t>eleven</t>
    <phoneticPr fontId="1"/>
  </si>
  <si>
    <t>thirty</t>
    <phoneticPr fontId="1"/>
  </si>
  <si>
    <t>six</t>
    <phoneticPr fontId="1"/>
  </si>
  <si>
    <t>five</t>
    <phoneticPr fontId="1"/>
  </si>
  <si>
    <t>four</t>
    <phoneticPr fontId="1"/>
  </si>
  <si>
    <t>three</t>
    <phoneticPr fontId="1"/>
  </si>
  <si>
    <t>two</t>
    <phoneticPr fontId="1"/>
  </si>
  <si>
    <t>one</t>
    <phoneticPr fontId="1"/>
  </si>
  <si>
    <t>開発</t>
    <rPh sb="0" eb="2">
      <t>カイハツ</t>
    </rPh>
    <phoneticPr fontId="1"/>
  </si>
  <si>
    <t>tes</t>
    <phoneticPr fontId="1"/>
  </si>
  <si>
    <t>agagagertertert</t>
    <phoneticPr fontId="1"/>
  </si>
  <si>
    <t>\cable.jpg</t>
  </si>
  <si>
    <t>\cable.jpg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</si>
</sst>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3" fillId="0" borderId="0" xfId="0" applyNumberFormat="1" applyFo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haradayuii\Documents\GitHub\PCresrveSystem\bin\Noimage.png" TargetMode="External"/><Relationship Id="rId1" Type="http://schemas.openxmlformats.org/officeDocument/2006/relationships/image" Target="file:///C:\Users\haradayuii\Documents\GitHub\PCresrveSystem\bin\cable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6</xdr:row>
          <xdr:rowOff>433388</xdr:rowOff>
        </xdr:from>
        <xdr:to>
          <xdr:col>18</xdr:col>
          <xdr:colOff>333375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604838</xdr:colOff>
          <xdr:row>3</xdr:row>
          <xdr:rowOff>57150</xdr:rowOff>
        </xdr:from>
        <xdr:to>
          <xdr:col>18</xdr:col>
          <xdr:colOff>290513</xdr:colOff>
          <xdr:row>4</xdr:row>
          <xdr:rowOff>28575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142875</xdr:rowOff>
        </xdr:from>
        <xdr:to>
          <xdr:col>23</xdr:col>
          <xdr:colOff>542925</xdr:colOff>
          <xdr:row>4</xdr:row>
          <xdr:rowOff>771525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614363</xdr:colOff>
          <xdr:row>7</xdr:row>
          <xdr:rowOff>571500</xdr:rowOff>
        </xdr:from>
        <xdr:to>
          <xdr:col>18</xdr:col>
          <xdr:colOff>314325</xdr:colOff>
          <xdr:row>9</xdr:row>
          <xdr:rowOff>309563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2917" y="929700"/>
          <a:ext cx="9424459" cy="4822342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38792" y="971622"/>
          <a:ext cx="9408584" cy="4796296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5083" y="1307042"/>
          <a:ext cx="882111" cy="4469849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597259" y="1308100"/>
          <a:ext cx="2597930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18152" y="7216347"/>
          <a:ext cx="2883542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28575</xdr:rowOff>
        </xdr:from>
        <xdr:to>
          <xdr:col>24</xdr:col>
          <xdr:colOff>495300</xdr:colOff>
          <xdr:row>19</xdr:row>
          <xdr:rowOff>209550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566738</xdr:colOff>
          <xdr:row>5</xdr:row>
          <xdr:rowOff>366713</xdr:rowOff>
        </xdr:from>
        <xdr:to>
          <xdr:col>18</xdr:col>
          <xdr:colOff>314325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85725</xdr:rowOff>
        </xdr:from>
        <xdr:to>
          <xdr:col>23</xdr:col>
          <xdr:colOff>576263</xdr:colOff>
          <xdr:row>15</xdr:row>
          <xdr:rowOff>261938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33338</xdr:rowOff>
        </xdr:from>
        <xdr:to>
          <xdr:col>15</xdr:col>
          <xdr:colOff>133350</xdr:colOff>
          <xdr:row>3</xdr:row>
          <xdr:rowOff>428625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</xdr:row>
          <xdr:rowOff>571500</xdr:rowOff>
        </xdr:from>
        <xdr:to>
          <xdr:col>15</xdr:col>
          <xdr:colOff>200025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190500</xdr:rowOff>
        </xdr:from>
        <xdr:to>
          <xdr:col>15</xdr:col>
          <xdr:colOff>200025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</xdr:row>
          <xdr:rowOff>733425</xdr:rowOff>
        </xdr:from>
        <xdr:to>
          <xdr:col>15</xdr:col>
          <xdr:colOff>185738</xdr:colOff>
          <xdr:row>5</xdr:row>
          <xdr:rowOff>238125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352425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757238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314325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1009650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157163</xdr:rowOff>
        </xdr:from>
        <xdr:to>
          <xdr:col>15</xdr:col>
          <xdr:colOff>161925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995363</xdr:colOff>
          <xdr:row>11</xdr:row>
          <xdr:rowOff>333375</xdr:rowOff>
        </xdr:from>
        <xdr:to>
          <xdr:col>15</xdr:col>
          <xdr:colOff>138113</xdr:colOff>
          <xdr:row>12</xdr:row>
          <xdr:rowOff>285750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233363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15</xdr:col>
          <xdr:colOff>123825</xdr:colOff>
          <xdr:row>13</xdr:row>
          <xdr:rowOff>371475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133350</xdr:rowOff>
        </xdr:from>
        <xdr:to>
          <xdr:col>18</xdr:col>
          <xdr:colOff>280988</xdr:colOff>
          <xdr:row>4</xdr:row>
          <xdr:rowOff>885825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57150</xdr:rowOff>
        </xdr:from>
        <xdr:to>
          <xdr:col>23</xdr:col>
          <xdr:colOff>490538</xdr:colOff>
          <xdr:row>9</xdr:row>
          <xdr:rowOff>109538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985838</xdr:colOff>
          <xdr:row>14</xdr:row>
          <xdr:rowOff>142875</xdr:rowOff>
        </xdr:from>
        <xdr:to>
          <xdr:col>15</xdr:col>
          <xdr:colOff>152400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15</xdr:col>
      <xdr:colOff>312208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4761" y="6734574"/>
          <a:ext cx="2306239" cy="2107801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1397317</xdr:colOff>
      <xdr:row>0</xdr:row>
      <xdr:rowOff>45720</xdr:rowOff>
    </xdr:from>
    <xdr:to>
      <xdr:col>1</xdr:col>
      <xdr:colOff>2949892</xdr:colOff>
      <xdr:row>0</xdr:row>
      <xdr:rowOff>1760220</xdr:rowOff>
    </xdr:to>
    <xdr:sp macro="" textlink="">
      <xdr:nvSpPr>
        <xdr:cNvPr id="87" name="Fig0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/>
      </xdr:nvSpPr>
      <xdr:spPr>
        <a:xfrm>
          <a:off x="2083117" y="4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
tes
one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0</xdr:colOff>
      <xdr:row>1</xdr:row>
      <xdr:rowOff>0</xdr:rowOff>
    </xdr:to>
    <xdr:sp macro="" textlink="">
      <xdr:nvSpPr>
        <xdr:cNvPr id="91" name="Fig1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 txBox="1"/>
      </xdr:nvSpPr>
      <xdr:spPr>
        <a:xfrm>
          <a:off x="685800" y="125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agagagertertert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68581</xdr:colOff>
      <xdr:row>0</xdr:row>
      <xdr:rowOff>114300</xdr:rowOff>
    </xdr:from>
    <xdr:to>
      <xdr:col>1</xdr:col>
      <xdr:colOff>1217486</xdr:colOff>
      <xdr:row>0</xdr:row>
      <xdr:rowOff>1263203</xdr:rowOff>
    </xdr:to>
    <xdr:pic>
      <xdr:nvPicPr>
        <xdr:cNvPr id="99" name="Fig2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1457" r="1457"/>
        <a:stretch>
          <a:fillRect/>
        </a:stretch>
      </xdr:blipFill>
      <xdr:spPr>
        <a:xfrm>
          <a:off x="754381" y="114300"/>
          <a:ext cx="1148905" cy="1148903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1</xdr:row>
      <xdr:rowOff>45720</xdr:rowOff>
    </xdr:from>
    <xdr:to>
      <xdr:col>1</xdr:col>
      <xdr:colOff>2949892</xdr:colOff>
      <xdr:row>1</xdr:row>
      <xdr:rowOff>1760220</xdr:rowOff>
    </xdr:to>
    <xdr:sp macro="" textlink="">
      <xdr:nvSpPr>
        <xdr:cNvPr id="103" name="Fig3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 txBox="1"/>
      </xdr:nvSpPr>
      <xdr:spPr>
        <a:xfrm>
          <a:off x="2083117" y="2331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
tes
two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0</xdr:colOff>
      <xdr:row>2</xdr:row>
      <xdr:rowOff>0</xdr:rowOff>
    </xdr:to>
    <xdr:sp macro="" textlink="">
      <xdr:nvSpPr>
        <xdr:cNvPr id="107" name="Fig4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 txBox="1"/>
      </xdr:nvSpPr>
      <xdr:spPr>
        <a:xfrm>
          <a:off x="685800" y="3543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agagagertertert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68581</xdr:colOff>
      <xdr:row>1</xdr:row>
      <xdr:rowOff>114300</xdr:rowOff>
    </xdr:from>
    <xdr:to>
      <xdr:col>1</xdr:col>
      <xdr:colOff>1217486</xdr:colOff>
      <xdr:row>1</xdr:row>
      <xdr:rowOff>1263203</xdr:rowOff>
    </xdr:to>
    <xdr:pic>
      <xdr:nvPicPr>
        <xdr:cNvPr id="115" name="Fig5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1457" r="1457"/>
        <a:stretch>
          <a:fillRect/>
        </a:stretch>
      </xdr:blipFill>
      <xdr:spPr>
        <a:xfrm>
          <a:off x="754381" y="2400300"/>
          <a:ext cx="1148905" cy="1148903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2</xdr:row>
      <xdr:rowOff>45720</xdr:rowOff>
    </xdr:from>
    <xdr:to>
      <xdr:col>1</xdr:col>
      <xdr:colOff>2949892</xdr:colOff>
      <xdr:row>2</xdr:row>
      <xdr:rowOff>1760220</xdr:rowOff>
    </xdr:to>
    <xdr:sp macro="" textlink="">
      <xdr:nvSpPr>
        <xdr:cNvPr id="119" name="Fig6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 txBox="1"/>
      </xdr:nvSpPr>
      <xdr:spPr>
        <a:xfrm>
          <a:off x="2083117" y="4617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
tes
three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0</xdr:colOff>
      <xdr:row>3</xdr:row>
      <xdr:rowOff>0</xdr:rowOff>
    </xdr:to>
    <xdr:sp macro="" textlink="">
      <xdr:nvSpPr>
        <xdr:cNvPr id="123" name="Fig7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 txBox="1"/>
      </xdr:nvSpPr>
      <xdr:spPr>
        <a:xfrm>
          <a:off x="685800" y="5829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agagagertertert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68581</xdr:colOff>
      <xdr:row>2</xdr:row>
      <xdr:rowOff>114300</xdr:rowOff>
    </xdr:from>
    <xdr:to>
      <xdr:col>1</xdr:col>
      <xdr:colOff>1217486</xdr:colOff>
      <xdr:row>2</xdr:row>
      <xdr:rowOff>1263203</xdr:rowOff>
    </xdr:to>
    <xdr:pic>
      <xdr:nvPicPr>
        <xdr:cNvPr id="126" name="Fig8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1457" r="1457"/>
        <a:stretch>
          <a:fillRect/>
        </a:stretch>
      </xdr:blipFill>
      <xdr:spPr>
        <a:xfrm>
          <a:off x="754381" y="4686300"/>
          <a:ext cx="1148905" cy="1148903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3</xdr:row>
      <xdr:rowOff>45720</xdr:rowOff>
    </xdr:from>
    <xdr:to>
      <xdr:col>1</xdr:col>
      <xdr:colOff>2949892</xdr:colOff>
      <xdr:row>3</xdr:row>
      <xdr:rowOff>1760220</xdr:rowOff>
    </xdr:to>
    <xdr:sp macro="" textlink="">
      <xdr:nvSpPr>
        <xdr:cNvPr id="127" name="Fig9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 txBox="1"/>
      </xdr:nvSpPr>
      <xdr:spPr>
        <a:xfrm>
          <a:off x="2083117" y="6903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
tes
four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0</xdr:colOff>
      <xdr:row>4</xdr:row>
      <xdr:rowOff>0</xdr:rowOff>
    </xdr:to>
    <xdr:sp macro="" textlink="">
      <xdr:nvSpPr>
        <xdr:cNvPr id="128" name="Fig10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 txBox="1"/>
      </xdr:nvSpPr>
      <xdr:spPr>
        <a:xfrm>
          <a:off x="685800" y="8115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agagagertertert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3</xdr:row>
      <xdr:rowOff>114300</xdr:rowOff>
    </xdr:from>
    <xdr:to>
      <xdr:col>1</xdr:col>
      <xdr:colOff>1217485</xdr:colOff>
      <xdr:row>3</xdr:row>
      <xdr:rowOff>1263204</xdr:rowOff>
    </xdr:to>
    <xdr:pic>
      <xdr:nvPicPr>
        <xdr:cNvPr id="130" name="Fig11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rcRect l="281" r="281"/>
        <a:stretch>
          <a:fillRect/>
        </a:stretch>
      </xdr:blipFill>
      <xdr:spPr>
        <a:xfrm>
          <a:off x="754380" y="6972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4</xdr:row>
      <xdr:rowOff>45720</xdr:rowOff>
    </xdr:from>
    <xdr:to>
      <xdr:col>1</xdr:col>
      <xdr:colOff>2949892</xdr:colOff>
      <xdr:row>4</xdr:row>
      <xdr:rowOff>1760220</xdr:rowOff>
    </xdr:to>
    <xdr:sp macro="" textlink="">
      <xdr:nvSpPr>
        <xdr:cNvPr id="131" name="Fig12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 txBox="1"/>
      </xdr:nvSpPr>
      <xdr:spPr>
        <a:xfrm>
          <a:off x="2083117" y="9189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
tes
five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0</xdr:colOff>
      <xdr:row>5</xdr:row>
      <xdr:rowOff>0</xdr:rowOff>
    </xdr:to>
    <xdr:sp macro="" textlink="">
      <xdr:nvSpPr>
        <xdr:cNvPr id="132" name="Fig13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 txBox="1"/>
      </xdr:nvSpPr>
      <xdr:spPr>
        <a:xfrm>
          <a:off x="685800" y="10401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agagagertertert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4</xdr:row>
      <xdr:rowOff>114300</xdr:rowOff>
    </xdr:from>
    <xdr:to>
      <xdr:col>1</xdr:col>
      <xdr:colOff>1217485</xdr:colOff>
      <xdr:row>4</xdr:row>
      <xdr:rowOff>1263204</xdr:rowOff>
    </xdr:to>
    <xdr:pic>
      <xdr:nvPicPr>
        <xdr:cNvPr id="134" name="Fig14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rcRect l="281" r="281"/>
        <a:stretch>
          <a:fillRect/>
        </a:stretch>
      </xdr:blipFill>
      <xdr:spPr>
        <a:xfrm>
          <a:off x="754380" y="9258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5</xdr:row>
      <xdr:rowOff>45720</xdr:rowOff>
    </xdr:from>
    <xdr:to>
      <xdr:col>1</xdr:col>
      <xdr:colOff>2949892</xdr:colOff>
      <xdr:row>5</xdr:row>
      <xdr:rowOff>1760220</xdr:rowOff>
    </xdr:to>
    <xdr:sp macro="" textlink="">
      <xdr:nvSpPr>
        <xdr:cNvPr id="135" name="Fig15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 txBox="1"/>
      </xdr:nvSpPr>
      <xdr:spPr>
        <a:xfrm>
          <a:off x="2083117" y="1147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
tes
six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0</xdr:colOff>
      <xdr:row>6</xdr:row>
      <xdr:rowOff>0</xdr:rowOff>
    </xdr:to>
    <xdr:sp macro="" textlink="">
      <xdr:nvSpPr>
        <xdr:cNvPr id="136" name="Fig16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 txBox="1"/>
      </xdr:nvSpPr>
      <xdr:spPr>
        <a:xfrm>
          <a:off x="685800" y="1268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agagagertertert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5</xdr:row>
      <xdr:rowOff>114300</xdr:rowOff>
    </xdr:from>
    <xdr:to>
      <xdr:col>1</xdr:col>
      <xdr:colOff>1217485</xdr:colOff>
      <xdr:row>5</xdr:row>
      <xdr:rowOff>1263204</xdr:rowOff>
    </xdr:to>
    <xdr:pic>
      <xdr:nvPicPr>
        <xdr:cNvPr id="138" name="Fig1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rcRect l="281" r="281"/>
        <a:stretch>
          <a:fillRect/>
        </a:stretch>
      </xdr:blipFill>
      <xdr:spPr>
        <a:xfrm>
          <a:off x="754380" y="11544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6</xdr:row>
      <xdr:rowOff>45720</xdr:rowOff>
    </xdr:from>
    <xdr:to>
      <xdr:col>1</xdr:col>
      <xdr:colOff>2949892</xdr:colOff>
      <xdr:row>6</xdr:row>
      <xdr:rowOff>1760220</xdr:rowOff>
    </xdr:to>
    <xdr:sp macro="" textlink="">
      <xdr:nvSpPr>
        <xdr:cNvPr id="139" name="Fig1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 txBox="1"/>
      </xdr:nvSpPr>
      <xdr:spPr>
        <a:xfrm>
          <a:off x="2083117" y="13761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
tes
seven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0</xdr:colOff>
      <xdr:row>7</xdr:row>
      <xdr:rowOff>0</xdr:rowOff>
    </xdr:to>
    <xdr:sp macro="" textlink="">
      <xdr:nvSpPr>
        <xdr:cNvPr id="140" name="Fig1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 txBox="1"/>
      </xdr:nvSpPr>
      <xdr:spPr>
        <a:xfrm>
          <a:off x="685800" y="14973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agagagertertert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6</xdr:row>
      <xdr:rowOff>114300</xdr:rowOff>
    </xdr:from>
    <xdr:to>
      <xdr:col>1</xdr:col>
      <xdr:colOff>1217485</xdr:colOff>
      <xdr:row>6</xdr:row>
      <xdr:rowOff>1263204</xdr:rowOff>
    </xdr:to>
    <xdr:pic>
      <xdr:nvPicPr>
        <xdr:cNvPr id="142" name="Fig20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rcRect l="281" r="281"/>
        <a:stretch>
          <a:fillRect/>
        </a:stretch>
      </xdr:blipFill>
      <xdr:spPr>
        <a:xfrm>
          <a:off x="754380" y="13830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7</xdr:row>
      <xdr:rowOff>45720</xdr:rowOff>
    </xdr:from>
    <xdr:to>
      <xdr:col>1</xdr:col>
      <xdr:colOff>2949892</xdr:colOff>
      <xdr:row>7</xdr:row>
      <xdr:rowOff>1760220</xdr:rowOff>
    </xdr:to>
    <xdr:sp macro="" textlink="">
      <xdr:nvSpPr>
        <xdr:cNvPr id="143" name="Fig21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 txBox="1"/>
      </xdr:nvSpPr>
      <xdr:spPr>
        <a:xfrm>
          <a:off x="2083117" y="16047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
tes
nine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7</xdr:row>
      <xdr:rowOff>1257300</xdr:rowOff>
    </xdr:from>
    <xdr:to>
      <xdr:col>2</xdr:col>
      <xdr:colOff>0</xdr:colOff>
      <xdr:row>8</xdr:row>
      <xdr:rowOff>0</xdr:rowOff>
    </xdr:to>
    <xdr:sp macro="" textlink="">
      <xdr:nvSpPr>
        <xdr:cNvPr id="144" name="Fig22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 txBox="1"/>
      </xdr:nvSpPr>
      <xdr:spPr>
        <a:xfrm>
          <a:off x="685800" y="17259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agagagertertert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7</xdr:row>
      <xdr:rowOff>114300</xdr:rowOff>
    </xdr:from>
    <xdr:to>
      <xdr:col>1</xdr:col>
      <xdr:colOff>1217485</xdr:colOff>
      <xdr:row>7</xdr:row>
      <xdr:rowOff>1263204</xdr:rowOff>
    </xdr:to>
    <xdr:pic>
      <xdr:nvPicPr>
        <xdr:cNvPr id="146" name="Fig23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rcRect l="281" r="281"/>
        <a:stretch>
          <a:fillRect/>
        </a:stretch>
      </xdr:blipFill>
      <xdr:spPr>
        <a:xfrm>
          <a:off x="754380" y="16116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8</xdr:row>
      <xdr:rowOff>45720</xdr:rowOff>
    </xdr:from>
    <xdr:to>
      <xdr:col>1</xdr:col>
      <xdr:colOff>2949892</xdr:colOff>
      <xdr:row>8</xdr:row>
      <xdr:rowOff>1760220</xdr:rowOff>
    </xdr:to>
    <xdr:sp macro="" textlink="">
      <xdr:nvSpPr>
        <xdr:cNvPr id="147" name="Fig24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 txBox="1"/>
      </xdr:nvSpPr>
      <xdr:spPr>
        <a:xfrm>
          <a:off x="2083117" y="18333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
tes
ten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8</xdr:row>
      <xdr:rowOff>1257300</xdr:rowOff>
    </xdr:from>
    <xdr:to>
      <xdr:col>2</xdr:col>
      <xdr:colOff>0</xdr:colOff>
      <xdr:row>9</xdr:row>
      <xdr:rowOff>0</xdr:rowOff>
    </xdr:to>
    <xdr:sp macro="" textlink="">
      <xdr:nvSpPr>
        <xdr:cNvPr id="148" name="Fig25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 txBox="1"/>
      </xdr:nvSpPr>
      <xdr:spPr>
        <a:xfrm>
          <a:off x="685800" y="19545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8</xdr:row>
      <xdr:rowOff>114300</xdr:rowOff>
    </xdr:from>
    <xdr:to>
      <xdr:col>1</xdr:col>
      <xdr:colOff>1217485</xdr:colOff>
      <xdr:row>8</xdr:row>
      <xdr:rowOff>1263204</xdr:rowOff>
    </xdr:to>
    <xdr:pic>
      <xdr:nvPicPr>
        <xdr:cNvPr id="150" name="Fig26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rcRect l="281" r="281"/>
        <a:stretch>
          <a:fillRect/>
        </a:stretch>
      </xdr:blipFill>
      <xdr:spPr>
        <a:xfrm>
          <a:off x="754380" y="18402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9</xdr:row>
      <xdr:rowOff>45720</xdr:rowOff>
    </xdr:from>
    <xdr:to>
      <xdr:col>1</xdr:col>
      <xdr:colOff>2949892</xdr:colOff>
      <xdr:row>9</xdr:row>
      <xdr:rowOff>1760220</xdr:rowOff>
    </xdr:to>
    <xdr:sp macro="" textlink="">
      <xdr:nvSpPr>
        <xdr:cNvPr id="151" name="Fig27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 txBox="1"/>
      </xdr:nvSpPr>
      <xdr:spPr>
        <a:xfrm>
          <a:off x="2083117" y="20619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
tes
eleven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9</xdr:row>
      <xdr:rowOff>1257300</xdr:rowOff>
    </xdr:from>
    <xdr:to>
      <xdr:col>2</xdr:col>
      <xdr:colOff>0</xdr:colOff>
      <xdr:row>10</xdr:row>
      <xdr:rowOff>0</xdr:rowOff>
    </xdr:to>
    <xdr:sp macro="" textlink="">
      <xdr:nvSpPr>
        <xdr:cNvPr id="152" name="Fig28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 txBox="1"/>
      </xdr:nvSpPr>
      <xdr:spPr>
        <a:xfrm>
          <a:off x="685800" y="21831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9</xdr:row>
      <xdr:rowOff>114300</xdr:rowOff>
    </xdr:from>
    <xdr:to>
      <xdr:col>1</xdr:col>
      <xdr:colOff>1217485</xdr:colOff>
      <xdr:row>9</xdr:row>
      <xdr:rowOff>1263204</xdr:rowOff>
    </xdr:to>
    <xdr:pic>
      <xdr:nvPicPr>
        <xdr:cNvPr id="154" name="Fig29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rcRect l="281" r="281"/>
        <a:stretch>
          <a:fillRect/>
        </a:stretch>
      </xdr:blipFill>
      <xdr:spPr>
        <a:xfrm>
          <a:off x="754380" y="20688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10</xdr:row>
      <xdr:rowOff>45720</xdr:rowOff>
    </xdr:from>
    <xdr:to>
      <xdr:col>1</xdr:col>
      <xdr:colOff>2949892</xdr:colOff>
      <xdr:row>10</xdr:row>
      <xdr:rowOff>1760220</xdr:rowOff>
    </xdr:to>
    <xdr:sp macro="" textlink="">
      <xdr:nvSpPr>
        <xdr:cNvPr id="155" name="Fig30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 txBox="1"/>
      </xdr:nvSpPr>
      <xdr:spPr>
        <a:xfrm>
          <a:off x="2083117" y="2290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
tes
thirty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10</xdr:row>
      <xdr:rowOff>1257300</xdr:rowOff>
    </xdr:from>
    <xdr:to>
      <xdr:col>2</xdr:col>
      <xdr:colOff>0</xdr:colOff>
      <xdr:row>11</xdr:row>
      <xdr:rowOff>0</xdr:rowOff>
    </xdr:to>
    <xdr:sp macro="" textlink="">
      <xdr:nvSpPr>
        <xdr:cNvPr id="156" name="Fig31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 txBox="1"/>
      </xdr:nvSpPr>
      <xdr:spPr>
        <a:xfrm>
          <a:off x="685800" y="2411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10</xdr:row>
      <xdr:rowOff>114300</xdr:rowOff>
    </xdr:from>
    <xdr:to>
      <xdr:col>1</xdr:col>
      <xdr:colOff>1217485</xdr:colOff>
      <xdr:row>10</xdr:row>
      <xdr:rowOff>1263204</xdr:rowOff>
    </xdr:to>
    <xdr:pic>
      <xdr:nvPicPr>
        <xdr:cNvPr id="158" name="Fig32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rcRect l="281" r="281"/>
        <a:stretch>
          <a:fillRect/>
        </a:stretch>
      </xdr:blipFill>
      <xdr:spPr>
        <a:xfrm>
          <a:off x="754380" y="22974300"/>
          <a:ext cx="1148905" cy="1148904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</xdr:row>
          <xdr:rowOff>85725</xdr:rowOff>
        </xdr:from>
        <xdr:to>
          <xdr:col>8</xdr:col>
          <xdr:colOff>609600</xdr:colOff>
          <xdr:row>3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371475</xdr:colOff>
          <xdr:row>0</xdr:row>
          <xdr:rowOff>85725</xdr:rowOff>
        </xdr:from>
        <xdr:to>
          <xdr:col>5</xdr:col>
          <xdr:colOff>485775</xdr:colOff>
          <xdr:row>2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showRowColHeaders="0" tabSelected="1" defaultGridColor="0" topLeftCell="G1" colorId="63" zoomScale="90" zoomScaleNormal="90" workbookViewId="0">
      <selection activeCell="K17" sqref="K17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625" customWidth="1"/>
    <col min="36" max="36" width="11.5625" customWidth="1"/>
  </cols>
  <sheetData>
    <row r="1" spans="1:36" ht="30.95" customHeight="1" x14ac:dyDescent="1">
      <c r="B1" s="9"/>
      <c r="C1" s="20"/>
      <c r="K1" s="31" t="s">
        <v>22</v>
      </c>
      <c r="L1" s="32" t="s">
        <v>65</v>
      </c>
    </row>
    <row r="2" spans="1:36" ht="46.9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49">
        <f ca="1">TODAY()</f>
        <v>43783</v>
      </c>
      <c r="L2" s="50">
        <f ca="1">NOW()-INT(NOW())</f>
        <v>4.2082060186658055E-2</v>
      </c>
      <c r="N2" s="47" t="s">
        <v>85</v>
      </c>
      <c r="U2" s="40"/>
      <c r="AA2" s="37" t="s">
        <v>72</v>
      </c>
      <c r="AB2" s="38"/>
      <c r="AC2" s="34">
        <f ca="1">setting_time(L2)</f>
        <v>0</v>
      </c>
    </row>
    <row r="3" spans="1:36" ht="25.1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9"/>
      <c r="L3" s="50"/>
      <c r="N3" s="51" t="s">
        <v>86</v>
      </c>
      <c r="O3" s="51"/>
      <c r="P3" s="12"/>
      <c r="Q3" t="s">
        <v>87</v>
      </c>
      <c r="T3" t="s">
        <v>88</v>
      </c>
    </row>
    <row r="4" spans="1:36" ht="70.150000000000006" customHeight="1" x14ac:dyDescent="0.7">
      <c r="A4" s="10"/>
      <c r="B4" s="13">
        <v>1</v>
      </c>
      <c r="C4" s="48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8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8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8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8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8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8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4" t="s">
        <v>64</v>
      </c>
      <c r="U4" s="37"/>
      <c r="V4" s="38"/>
      <c r="W4" s="38"/>
      <c r="X4" s="39"/>
      <c r="Z4" s="37" t="s">
        <v>73</v>
      </c>
      <c r="AA4" s="38"/>
      <c r="AB4" s="38" t="s">
        <v>74</v>
      </c>
      <c r="AC4" s="38"/>
      <c r="AD4" s="38"/>
      <c r="AE4" s="34">
        <f ca="1">AC2</f>
        <v>0</v>
      </c>
    </row>
    <row r="5" spans="1:36" ht="70.150000000000006" customHeight="1" x14ac:dyDescent="0.7">
      <c r="A5" s="27"/>
      <c r="B5" s="13">
        <v>2</v>
      </c>
      <c r="C5" s="48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8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8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8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48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8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8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4" t="s">
        <v>64</v>
      </c>
      <c r="U5" s="37"/>
      <c r="V5" s="38"/>
      <c r="W5" s="38"/>
      <c r="X5" s="39"/>
      <c r="Z5" s="34" t="s">
        <v>69</v>
      </c>
      <c r="AA5" s="34" t="s">
        <v>75</v>
      </c>
      <c r="AB5" s="34" t="s">
        <v>76</v>
      </c>
      <c r="AC5" s="34" t="s">
        <v>77</v>
      </c>
      <c r="AD5" s="34" t="s">
        <v>78</v>
      </c>
      <c r="AE5" s="34" t="s">
        <v>79</v>
      </c>
      <c r="AF5" s="34" t="s">
        <v>80</v>
      </c>
      <c r="AG5" s="34" t="s">
        <v>81</v>
      </c>
      <c r="AH5" s="34" t="s">
        <v>82</v>
      </c>
      <c r="AI5" s="34" t="s">
        <v>83</v>
      </c>
      <c r="AJ5" s="34" t="s">
        <v>84</v>
      </c>
    </row>
    <row r="6" spans="1:36" ht="70.150000000000006" customHeight="1" x14ac:dyDescent="0.7">
      <c r="A6" s="27"/>
      <c r="B6" s="13">
        <v>3</v>
      </c>
      <c r="C6" s="48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8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8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8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48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8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8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5" t="s">
        <v>71</v>
      </c>
      <c r="Z6" s="34">
        <v>1</v>
      </c>
      <c r="AA6" s="34" t="str">
        <f ca="1">IFERROR(IF(INDEX(生データ!$D:$D,MATCH(OFFSET($D$22,$Z6-1,$AE$4-1),生データ!$D:$D,1))=OFFSET($D$22,$Z6-1,$AE$4-1),VLOOKUP(OFFSET($D$22,$Z6-1,$AE$4-1),生データ!$D:$O,COLUMN(C1),TRUE),""),"")</f>
        <v/>
      </c>
      <c r="AB6" s="34" t="str">
        <f ca="1">IFERROR(IF(INDEX(生データ!$D:$D,MATCH(OFFSET($D$22,$Z6-1,$AE$4-1),生データ!$D:$D,1))=OFFSET($D$22,$Z6-1,$AE$4-1),VLOOKUP(OFFSET($D$22,$Z6-1,$AE$4-1),生データ!$D:$O,COLUMN(D1),TRUE),""),"")</f>
        <v/>
      </c>
      <c r="AC6" s="34" t="str">
        <f ca="1">IFERROR(IF(INDEX(生データ!$D:$D,MATCH(OFFSET($D$22,$Z6-1,$AE$4-1),生データ!$D:$D,1))=OFFSET($D$22,$Z6-1,$AE$4-1),VLOOKUP(OFFSET($D$22,$Z6-1,$AE$4-1),生データ!$D:$O,COLUMN(E1),TRUE),""),"")</f>
        <v/>
      </c>
      <c r="AD6" s="34" t="str">
        <f ca="1">IFERROR(IF(INDEX(生データ!$D:$D,MATCH(OFFSET($D$22,$Z6-1,$AE$4-1),生データ!$D:$D,1))=OFFSET($D$22,$Z6-1,$AE$4-1),VLOOKUP(OFFSET($D$22,$Z6-1,$AE$4-1),生データ!$D:$O,COLUMN(F1),TRUE),""),"")</f>
        <v/>
      </c>
      <c r="AE6" s="34" t="str">
        <f ca="1">IFERROR(IF(INDEX(生データ!$D:$D,MATCH(OFFSET($D$22,$Z6-1,$AE$4-1),生データ!$D:$D,1))=OFFSET($D$22,$Z6-1,$AE$4-1),VLOOKUP(OFFSET($D$22,$Z6-1,$AE$4-1),生データ!$D:$O,COLUMN(G1),TRUE),""),"")</f>
        <v/>
      </c>
      <c r="AF6" s="34" t="str">
        <f ca="1">IFERROR(IF(INDEX(生データ!$D:$D,MATCH(OFFSET($D$22,$Z6-1,$AE$4-1),生データ!$D:$D,1))=OFFSET($D$22,$Z6-1,$AE$4-1),VLOOKUP(OFFSET($D$22,$Z6-1,$AE$4-1),生データ!$D:$O,COLUMN(H1),TRUE),""),"")</f>
        <v/>
      </c>
      <c r="AG6" s="34" t="str">
        <f ca="1">IFERROR(IF(INDEX(生データ!$D:$D,MATCH(OFFSET($D$22,$Z6-1,$AE$4-1),生データ!$D:$D,1))=OFFSET($D$22,$Z6-1,$AE$4-1),VLOOKUP(OFFSET($D$22,$Z6-1,$AE$4-1),生データ!$D:$O,COLUMN(I1),TRUE),""),"")</f>
        <v/>
      </c>
      <c r="AH6" s="34" t="str">
        <f ca="1">IFERROR(IF(INDEX(生データ!$D:$D,MATCH(OFFSET($D$22,$Z6-1,$AE$4-1),生データ!$D:$D,1))=OFFSET($D$22,$Z6-1,$AE$4-1),VLOOKUP(OFFSET($D$22,$Z6-1,$AE$4-1),生データ!$D:$O,COLUMN(J1),TRUE),""),"")</f>
        <v/>
      </c>
      <c r="AI6" s="34" t="str">
        <f ca="1">IFERROR(IF(INDEX(生データ!$D:$D,MATCH(OFFSET($D$22,$Z6-1,$AE$4-1),生データ!$D:$D,1))=OFFSET($D$22,$Z6-1,$AE$4-1),VLOOKUP(OFFSET($D$22,$Z6-1,$AE$4-1),生データ!$D:$O,COLUMN(K1),TRUE),""),"")</f>
        <v/>
      </c>
      <c r="AJ6" s="34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150000000000006" customHeight="1" x14ac:dyDescent="0.7">
      <c r="A7" s="27"/>
      <c r="B7" s="13">
        <v>4</v>
      </c>
      <c r="C7" s="48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8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8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8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8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8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48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4"/>
      <c r="U7" s="34"/>
      <c r="V7" s="34"/>
      <c r="W7" s="34"/>
      <c r="X7" s="34"/>
      <c r="Z7" s="34">
        <v>2</v>
      </c>
      <c r="AA7" s="34" t="str">
        <f ca="1">IFERROR(IF(INDEX(生データ!$D:$D,MATCH(OFFSET($D$22,$Z7-1,$AE$4-1),生データ!$D:$D,1))=OFFSET($D$22,$Z7-1,$AE$4-1),VLOOKUP(OFFSET($D$22,$Z7-1,$AE$4-1),生データ!$D:$O,COLUMN(C2),TRUE),""),"")</f>
        <v/>
      </c>
      <c r="AB7" s="34" t="str">
        <f ca="1">IFERROR(IF(INDEX(生データ!$D:$D,MATCH(OFFSET($D$22,$Z7-1,$AE$4-1),生データ!$D:$D,1))=OFFSET($D$22,$Z7-1,$AE$4-1),VLOOKUP(OFFSET($D$22,$Z7-1,$AE$4-1),生データ!$D:$O,COLUMN(D2),TRUE),""),"")</f>
        <v/>
      </c>
      <c r="AC7" s="34" t="str">
        <f ca="1">IFERROR(IF(INDEX(生データ!$D:$D,MATCH(OFFSET($D$22,$Z7-1,$AE$4-1),生データ!$D:$D,1))=OFFSET($D$22,$Z7-1,$AE$4-1),VLOOKUP(OFFSET($D$22,$Z7-1,$AE$4-1),生データ!$D:$O,COLUMN(E2),TRUE),""),"")</f>
        <v/>
      </c>
      <c r="AD7" s="34" t="str">
        <f ca="1">IFERROR(IF(INDEX(生データ!$D:$D,MATCH(OFFSET($D$22,$Z7-1,$AE$4-1),生データ!$D:$D,1))=OFFSET($D$22,$Z7-1,$AE$4-1),VLOOKUP(OFFSET($D$22,$Z7-1,$AE$4-1),生データ!$D:$O,COLUMN(F2),TRUE),""),"")</f>
        <v/>
      </c>
      <c r="AE7" s="34" t="str">
        <f ca="1">IFERROR(IF(INDEX(生データ!$D:$D,MATCH(OFFSET($D$22,$Z7-1,$AE$4-1),生データ!$D:$D,1))=OFFSET($D$22,$Z7-1,$AE$4-1),VLOOKUP(OFFSET($D$22,$Z7-1,$AE$4-1),生データ!$D:$O,COLUMN(G2),TRUE),""),"")</f>
        <v/>
      </c>
      <c r="AF7" s="34" t="str">
        <f ca="1">IFERROR(IF(INDEX(生データ!$D:$D,MATCH(OFFSET($D$22,$Z7-1,$AE$4-1),生データ!$D:$D,1))=OFFSET($D$22,$Z7-1,$AE$4-1),VLOOKUP(OFFSET($D$22,$Z7-1,$AE$4-1),生データ!$D:$O,COLUMN(H2),TRUE),""),"")</f>
        <v/>
      </c>
      <c r="AG7" s="34" t="str">
        <f ca="1">IFERROR(IF(INDEX(生データ!$D:$D,MATCH(OFFSET($D$22,$Z7-1,$AE$4-1),生データ!$D:$D,1))=OFFSET($D$22,$Z7-1,$AE$4-1),VLOOKUP(OFFSET($D$22,$Z7-1,$AE$4-1),生データ!$D:$O,COLUMN(I2),TRUE),""),"")</f>
        <v/>
      </c>
      <c r="AH7" s="34" t="str">
        <f ca="1">IFERROR(IF(INDEX(生データ!$D:$D,MATCH(OFFSET($D$22,$Z7-1,$AE$4-1),生データ!$D:$D,1))=OFFSET($D$22,$Z7-1,$AE$4-1),VLOOKUP(OFFSET($D$22,$Z7-1,$AE$4-1),生データ!$D:$O,COLUMN(J2),TRUE),""),"")</f>
        <v/>
      </c>
      <c r="AI7" s="34" t="str">
        <f ca="1">IFERROR(IF(INDEX(生データ!$D:$D,MATCH(OFFSET($D$22,$Z7-1,$AE$4-1),生データ!$D:$D,1))=OFFSET($D$22,$Z7-1,$AE$4-1),VLOOKUP(OFFSET($D$22,$Z7-1,$AE$4-1),生データ!$D:$O,COLUMN(K2),TRUE),""),"")</f>
        <v/>
      </c>
      <c r="AJ7" s="34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150000000000006" customHeight="1" x14ac:dyDescent="0.7">
      <c r="A8" s="12"/>
      <c r="B8" s="13">
        <v>5</v>
      </c>
      <c r="C8" s="48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8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8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8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8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8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8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4">
        <v>3</v>
      </c>
      <c r="AA8" s="34" t="str">
        <f ca="1">IFERROR(IF(INDEX(生データ!$D:$D,MATCH(OFFSET($D$22,$Z8-1,$AE$4-1),生データ!$D:$D,1))=OFFSET($D$22,$Z8-1,$AE$4-1),VLOOKUP(OFFSET($D$22,$Z8-1,$AE$4-1),生データ!$D:$O,COLUMN(C3),TRUE),""),"")</f>
        <v/>
      </c>
      <c r="AB8" s="34" t="str">
        <f ca="1">IFERROR(IF(INDEX(生データ!$D:$D,MATCH(OFFSET($D$22,$Z8-1,$AE$4-1),生データ!$D:$D,1))=OFFSET($D$22,$Z8-1,$AE$4-1),VLOOKUP(OFFSET($D$22,$Z8-1,$AE$4-1),生データ!$D:$O,COLUMN(D3),TRUE),""),"")</f>
        <v/>
      </c>
      <c r="AC8" s="34" t="str">
        <f ca="1">IFERROR(IF(INDEX(生データ!$D:$D,MATCH(OFFSET($D$22,$Z8-1,$AE$4-1),生データ!$D:$D,1))=OFFSET($D$22,$Z8-1,$AE$4-1),VLOOKUP(OFFSET($D$22,$Z8-1,$AE$4-1),生データ!$D:$O,COLUMN(E3),TRUE),""),"")</f>
        <v/>
      </c>
      <c r="AD8" s="34" t="str">
        <f ca="1">IFERROR(IF(INDEX(生データ!$D:$D,MATCH(OFFSET($D$22,$Z8-1,$AE$4-1),生データ!$D:$D,1))=OFFSET($D$22,$Z8-1,$AE$4-1),VLOOKUP(OFFSET($D$22,$Z8-1,$AE$4-1),生データ!$D:$O,COLUMN(F3),TRUE),""),"")</f>
        <v/>
      </c>
      <c r="AE8" s="34" t="str">
        <f ca="1">IFERROR(IF(INDEX(生データ!$D:$D,MATCH(OFFSET($D$22,$Z8-1,$AE$4-1),生データ!$D:$D,1))=OFFSET($D$22,$Z8-1,$AE$4-1),VLOOKUP(OFFSET($D$22,$Z8-1,$AE$4-1),生データ!$D:$O,COLUMN(G3),TRUE),""),"")</f>
        <v/>
      </c>
      <c r="AF8" s="34" t="str">
        <f ca="1">IFERROR(IF(INDEX(生データ!$D:$D,MATCH(OFFSET($D$22,$Z8-1,$AE$4-1),生データ!$D:$D,1))=OFFSET($D$22,$Z8-1,$AE$4-1),VLOOKUP(OFFSET($D$22,$Z8-1,$AE$4-1),生データ!$D:$O,COLUMN(H3),TRUE),""),"")</f>
        <v/>
      </c>
      <c r="AG8" s="34" t="str">
        <f ca="1">IFERROR(IF(INDEX(生データ!$D:$D,MATCH(OFFSET($D$22,$Z8-1,$AE$4-1),生データ!$D:$D,1))=OFFSET($D$22,$Z8-1,$AE$4-1),VLOOKUP(OFFSET($D$22,$Z8-1,$AE$4-1),生データ!$D:$O,COLUMN(I3),TRUE),""),"")</f>
        <v/>
      </c>
      <c r="AH8" s="34" t="str">
        <f ca="1">IFERROR(IF(INDEX(生データ!$D:$D,MATCH(OFFSET($D$22,$Z8-1,$AE$4-1),生データ!$D:$D,1))=OFFSET($D$22,$Z8-1,$AE$4-1),VLOOKUP(OFFSET($D$22,$Z8-1,$AE$4-1),生データ!$D:$O,COLUMN(J3),TRUE),""),"")</f>
        <v/>
      </c>
      <c r="AI8" s="34" t="str">
        <f ca="1">IFERROR(IF(INDEX(生データ!$D:$D,MATCH(OFFSET($D$22,$Z8-1,$AE$4-1),生データ!$D:$D,1))=OFFSET($D$22,$Z8-1,$AE$4-1),VLOOKUP(OFFSET($D$22,$Z8-1,$AE$4-1),生データ!$D:$O,COLUMN(K3),TRUE),""),"")</f>
        <v/>
      </c>
      <c r="AJ8" s="34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.100000000000001" customHeight="1" x14ac:dyDescent="0.7">
      <c r="Z9" s="34">
        <v>4</v>
      </c>
      <c r="AA9" s="34" t="str">
        <f ca="1">IFERROR(IF(INDEX(生データ!$D:$D,MATCH(OFFSET($D$22,$Z9-1,$AE$4-1),生データ!$D:$D,1))=OFFSET($D$22,$Z9-1,$AE$4-1),VLOOKUP(OFFSET($D$22,$Z9-1,$AE$4-1),生データ!$D:$O,COLUMN(C4),TRUE),""),"")</f>
        <v/>
      </c>
      <c r="AB9" s="34" t="str">
        <f ca="1">IFERROR(IF(INDEX(生データ!$D:$D,MATCH(OFFSET($D$22,$Z9-1,$AE$4-1),生データ!$D:$D,1))=OFFSET($D$22,$Z9-1,$AE$4-1),VLOOKUP(OFFSET($D$22,$Z9-1,$AE$4-1),生データ!$D:$O,COLUMN(D4),TRUE),""),"")</f>
        <v/>
      </c>
      <c r="AC9" s="34" t="str">
        <f ca="1">IFERROR(IF(INDEX(生データ!$D:$D,MATCH(OFFSET($D$22,$Z9-1,$AE$4-1),生データ!$D:$D,1))=OFFSET($D$22,$Z9-1,$AE$4-1),VLOOKUP(OFFSET($D$22,$Z9-1,$AE$4-1),生データ!$D:$O,COLUMN(E4),TRUE),""),"")</f>
        <v/>
      </c>
      <c r="AD9" s="34" t="str">
        <f ca="1">IFERROR(IF(INDEX(生データ!$D:$D,MATCH(OFFSET($D$22,$Z9-1,$AE$4-1),生データ!$D:$D,1))=OFFSET($D$22,$Z9-1,$AE$4-1),VLOOKUP(OFFSET($D$22,$Z9-1,$AE$4-1),生データ!$D:$O,COLUMN(F4),TRUE),""),"")</f>
        <v/>
      </c>
      <c r="AE9" s="34" t="str">
        <f ca="1">IFERROR(IF(INDEX(生データ!$D:$D,MATCH(OFFSET($D$22,$Z9-1,$AE$4-1),生データ!$D:$D,1))=OFFSET($D$22,$Z9-1,$AE$4-1),VLOOKUP(OFFSET($D$22,$Z9-1,$AE$4-1),生データ!$D:$O,COLUMN(G4),TRUE),""),"")</f>
        <v/>
      </c>
      <c r="AF9" s="34" t="str">
        <f ca="1">IFERROR(IF(INDEX(生データ!$D:$D,MATCH(OFFSET($D$22,$Z9-1,$AE$4-1),生データ!$D:$D,1))=OFFSET($D$22,$Z9-1,$AE$4-1),VLOOKUP(OFFSET($D$22,$Z9-1,$AE$4-1),生データ!$D:$O,COLUMN(H4),TRUE),""),"")</f>
        <v/>
      </c>
      <c r="AG9" s="34" t="str">
        <f ca="1">IFERROR(IF(INDEX(生データ!$D:$D,MATCH(OFFSET($D$22,$Z9-1,$AE$4-1),生データ!$D:$D,1))=OFFSET($D$22,$Z9-1,$AE$4-1),VLOOKUP(OFFSET($D$22,$Z9-1,$AE$4-1),生データ!$D:$O,COLUMN(I4),TRUE),""),"")</f>
        <v/>
      </c>
      <c r="AH9" s="34" t="str">
        <f ca="1">IFERROR(IF(INDEX(生データ!$D:$D,MATCH(OFFSET($D$22,$Z9-1,$AE$4-1),生データ!$D:$D,1))=OFFSET($D$22,$Z9-1,$AE$4-1),VLOOKUP(OFFSET($D$22,$Z9-1,$AE$4-1),生データ!$D:$O,COLUMN(J4),TRUE),""),"")</f>
        <v/>
      </c>
      <c r="AI9" s="34" t="str">
        <f ca="1">IFERROR(IF(INDEX(生データ!$D:$D,MATCH(OFFSET($D$22,$Z9-1,$AE$4-1),生データ!$D:$D,1))=OFFSET($D$22,$Z9-1,$AE$4-1),VLOOKUP(OFFSET($D$22,$Z9-1,$AE$4-1),生データ!$D:$O,COLUMN(K4),TRUE),""),"")</f>
        <v/>
      </c>
      <c r="AJ9" s="34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4">
        <v>5</v>
      </c>
      <c r="AA10" s="34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4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4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4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4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4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4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4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4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4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101</v>
      </c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T13" t="s">
        <v>89</v>
      </c>
    </row>
    <row r="14" spans="1:36" ht="30" customHeight="1" x14ac:dyDescent="0.7">
      <c r="H14" s="1"/>
      <c r="T14" s="34">
        <v>2</v>
      </c>
      <c r="U14" s="37"/>
      <c r="V14" s="38" t="s">
        <v>68</v>
      </c>
      <c r="W14" s="38"/>
      <c r="X14" s="39"/>
    </row>
    <row r="15" spans="1:36" ht="30" customHeight="1" x14ac:dyDescent="0.7">
      <c r="B15" s="3"/>
      <c r="T15" s="45"/>
      <c r="U15" s="41"/>
      <c r="V15" s="41"/>
      <c r="W15" s="41"/>
      <c r="X15" s="42"/>
    </row>
    <row r="16" spans="1:36" ht="29.45" customHeight="1" x14ac:dyDescent="0.7">
      <c r="T16" s="46" t="s">
        <v>64</v>
      </c>
      <c r="U16" s="43"/>
      <c r="V16" s="43"/>
      <c r="W16" s="43"/>
      <c r="X16" s="44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20191114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2019111411</v>
      </c>
      <c r="E22" s="3">
        <f t="shared" ref="E22:J22" ca="1" si="0">$C$21*100+E$21*10+$C22</f>
        <v>2019111421</v>
      </c>
      <c r="F22" s="3">
        <f t="shared" ca="1" si="0"/>
        <v>2019111431</v>
      </c>
      <c r="G22" s="3">
        <f t="shared" ca="1" si="0"/>
        <v>2019111441</v>
      </c>
      <c r="H22" s="3">
        <f t="shared" ca="1" si="0"/>
        <v>2019111451</v>
      </c>
      <c r="I22" s="3">
        <f t="shared" ca="1" si="0"/>
        <v>2019111461</v>
      </c>
      <c r="J22" s="3">
        <f t="shared" ca="1" si="0"/>
        <v>2019111471</v>
      </c>
    </row>
    <row r="23" spans="3:10" hidden="1" x14ac:dyDescent="0.7">
      <c r="C23" s="3">
        <v>2</v>
      </c>
      <c r="D23" s="3">
        <f t="shared" ref="D23:J26" ca="1" si="1">$C$21*100+D$21*10+$C23</f>
        <v>2019111412</v>
      </c>
      <c r="E23" s="3">
        <f t="shared" ca="1" si="1"/>
        <v>2019111422</v>
      </c>
      <c r="F23" s="3">
        <f t="shared" ca="1" si="1"/>
        <v>2019111432</v>
      </c>
      <c r="G23" s="3">
        <f t="shared" ca="1" si="1"/>
        <v>2019111442</v>
      </c>
      <c r="H23" s="3">
        <f t="shared" ca="1" si="1"/>
        <v>2019111452</v>
      </c>
      <c r="I23" s="3">
        <f t="shared" ca="1" si="1"/>
        <v>2019111462</v>
      </c>
      <c r="J23" s="3">
        <f t="shared" ca="1" si="1"/>
        <v>2019111472</v>
      </c>
    </row>
    <row r="24" spans="3:10" hidden="1" x14ac:dyDescent="0.7">
      <c r="C24" s="3">
        <v>3</v>
      </c>
      <c r="D24" s="3">
        <f t="shared" ca="1" si="1"/>
        <v>2019111413</v>
      </c>
      <c r="E24" s="3">
        <f t="shared" ca="1" si="1"/>
        <v>2019111423</v>
      </c>
      <c r="F24" s="3">
        <f t="shared" ca="1" si="1"/>
        <v>2019111433</v>
      </c>
      <c r="G24" s="3">
        <f t="shared" ca="1" si="1"/>
        <v>2019111443</v>
      </c>
      <c r="H24" s="3">
        <f t="shared" ca="1" si="1"/>
        <v>2019111453</v>
      </c>
      <c r="I24" s="3">
        <f t="shared" ca="1" si="1"/>
        <v>2019111463</v>
      </c>
      <c r="J24" s="3">
        <f t="shared" ca="1" si="1"/>
        <v>2019111473</v>
      </c>
    </row>
    <row r="25" spans="3:10" hidden="1" x14ac:dyDescent="0.7">
      <c r="C25" s="3">
        <v>4</v>
      </c>
      <c r="D25" s="3">
        <f t="shared" ca="1" si="1"/>
        <v>2019111414</v>
      </c>
      <c r="E25" s="3">
        <f t="shared" ca="1" si="1"/>
        <v>2019111424</v>
      </c>
      <c r="F25" s="3">
        <f t="shared" ca="1" si="1"/>
        <v>2019111434</v>
      </c>
      <c r="G25" s="3">
        <f t="shared" ca="1" si="1"/>
        <v>2019111444</v>
      </c>
      <c r="H25" s="3">
        <f t="shared" ca="1" si="1"/>
        <v>2019111454</v>
      </c>
      <c r="I25" s="3">
        <f t="shared" ca="1" si="1"/>
        <v>2019111464</v>
      </c>
      <c r="J25" s="3">
        <f t="shared" ca="1" si="1"/>
        <v>2019111474</v>
      </c>
    </row>
    <row r="26" spans="3:10" hidden="1" x14ac:dyDescent="0.7">
      <c r="C26" s="3">
        <v>5</v>
      </c>
      <c r="D26" s="3">
        <f t="shared" ca="1" si="1"/>
        <v>2019111415</v>
      </c>
      <c r="E26" s="3">
        <f t="shared" ca="1" si="1"/>
        <v>2019111425</v>
      </c>
      <c r="F26" s="3">
        <f t="shared" ca="1" si="1"/>
        <v>2019111435</v>
      </c>
      <c r="G26" s="3">
        <f t="shared" ca="1" si="1"/>
        <v>2019111445</v>
      </c>
      <c r="H26" s="3">
        <f t="shared" ca="1" si="1"/>
        <v>2019111455</v>
      </c>
      <c r="I26" s="3">
        <f t="shared" ca="1" si="1"/>
        <v>2019111465</v>
      </c>
      <c r="J26" s="3">
        <f t="shared" ca="1" si="1"/>
        <v>2019111475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581025</xdr:colOff>
                    <xdr:row>6</xdr:row>
                    <xdr:rowOff>433388</xdr:rowOff>
                  </from>
                  <to>
                    <xdr:col>18</xdr:col>
                    <xdr:colOff>333375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604838</xdr:colOff>
                    <xdr:row>3</xdr:row>
                    <xdr:rowOff>57150</xdr:rowOff>
                  </from>
                  <to>
                    <xdr:col>18</xdr:col>
                    <xdr:colOff>290513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614363</xdr:colOff>
                    <xdr:row>7</xdr:row>
                    <xdr:rowOff>571500</xdr:rowOff>
                  </from>
                  <to>
                    <xdr:col>18</xdr:col>
                    <xdr:colOff>314325</xdr:colOff>
                    <xdr:row>9</xdr:row>
                    <xdr:rowOff>309563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28575</xdr:rowOff>
                  </from>
                  <to>
                    <xdr:col>24</xdr:col>
                    <xdr:colOff>495300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566738</xdr:colOff>
                    <xdr:row>5</xdr:row>
                    <xdr:rowOff>366713</xdr:rowOff>
                  </from>
                  <to>
                    <xdr:col>18</xdr:col>
                    <xdr:colOff>314325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33338</xdr:rowOff>
                  </from>
                  <to>
                    <xdr:col>15</xdr:col>
                    <xdr:colOff>133350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19050</xdr:colOff>
                    <xdr:row>3</xdr:row>
                    <xdr:rowOff>571500</xdr:rowOff>
                  </from>
                  <to>
                    <xdr:col>15</xdr:col>
                    <xdr:colOff>200025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9525</xdr:colOff>
                    <xdr:row>4</xdr:row>
                    <xdr:rowOff>190500</xdr:rowOff>
                  </from>
                  <to>
                    <xdr:col>15</xdr:col>
                    <xdr:colOff>200025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19050</xdr:colOff>
                    <xdr:row>4</xdr:row>
                    <xdr:rowOff>733425</xdr:rowOff>
                  </from>
                  <to>
                    <xdr:col>15</xdr:col>
                    <xdr:colOff>185738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352425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757238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28575</xdr:colOff>
                    <xdr:row>6</xdr:row>
                    <xdr:rowOff>314325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1009650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9525</xdr:colOff>
                    <xdr:row>8</xdr:row>
                    <xdr:rowOff>157163</xdr:rowOff>
                  </from>
                  <to>
                    <xdr:col>15</xdr:col>
                    <xdr:colOff>161925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995363</xdr:colOff>
                    <xdr:row>11</xdr:row>
                    <xdr:rowOff>333375</xdr:rowOff>
                  </from>
                  <to>
                    <xdr:col>15</xdr:col>
                    <xdr:colOff>138113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233363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15</xdr:col>
                    <xdr:colOff>123825</xdr:colOff>
                    <xdr:row>13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133350</xdr:rowOff>
                  </from>
                  <to>
                    <xdr:col>18</xdr:col>
                    <xdr:colOff>280988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57150</xdr:rowOff>
                  </from>
                  <to>
                    <xdr:col>23</xdr:col>
                    <xdr:colOff>490538</xdr:colOff>
                    <xdr:row>9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985838</xdr:colOff>
                    <xdr:row>14</xdr:row>
                    <xdr:rowOff>142875</xdr:rowOff>
                  </from>
                  <to>
                    <xdr:col>15</xdr:col>
                    <xdr:colOff>152400</xdr:colOff>
                    <xdr:row>15</xdr:row>
                    <xdr:rowOff>366713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39"/>
  <sheetViews>
    <sheetView showGridLines="0" zoomScaleNormal="100" workbookViewId="0">
      <selection activeCell="F3" sqref="F3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1</v>
      </c>
    </row>
    <row r="2" spans="1:1" ht="180" customHeight="1" x14ac:dyDescent="0.7">
      <c r="A2">
        <v>2</v>
      </c>
    </row>
    <row r="3" spans="1:1" ht="180" customHeight="1" x14ac:dyDescent="0.7">
      <c r="A3">
        <v>3</v>
      </c>
    </row>
    <row r="4" spans="1:1" ht="180" customHeight="1" x14ac:dyDescent="0.7">
      <c r="A4">
        <v>4</v>
      </c>
    </row>
    <row r="5" spans="1:1" ht="180" customHeight="1" x14ac:dyDescent="0.7">
      <c r="A5">
        <v>5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  <row r="8" spans="1:1" ht="180" customHeight="1" x14ac:dyDescent="0.7">
      <c r="A8">
        <v>9</v>
      </c>
    </row>
    <row r="9" spans="1:1" ht="180" customHeight="1" x14ac:dyDescent="0.7">
      <c r="A9">
        <v>10</v>
      </c>
    </row>
    <row r="10" spans="1:1" ht="180" customHeight="1" x14ac:dyDescent="0.7">
      <c r="A10">
        <v>11</v>
      </c>
    </row>
    <row r="11" spans="1:1" ht="180" customHeight="1" x14ac:dyDescent="0.7">
      <c r="A11">
        <v>13</v>
      </c>
    </row>
    <row r="12" spans="1:1" ht="180" customHeight="1" x14ac:dyDescent="0.7"/>
    <row r="13" spans="1:1" ht="180" customHeight="1" x14ac:dyDescent="0.7"/>
    <row r="14" spans="1:1" ht="180" customHeight="1" x14ac:dyDescent="0.7"/>
    <row r="15" spans="1:1" ht="180" customHeight="1" x14ac:dyDescent="0.7"/>
    <row r="16" spans="1:1" ht="180" customHeight="1" x14ac:dyDescent="0.7"/>
    <row r="17" ht="180" customHeight="1" x14ac:dyDescent="0.7"/>
    <row r="18" ht="180" customHeight="1" x14ac:dyDescent="0.7"/>
    <row r="19" ht="180" customHeight="1" x14ac:dyDescent="0.7"/>
    <row r="20" ht="180" customHeight="1" x14ac:dyDescent="0.7"/>
    <row r="21" ht="180" customHeight="1" x14ac:dyDescent="0.7"/>
    <row r="22" ht="180" customHeight="1" x14ac:dyDescent="0.7"/>
    <row r="23" ht="180" customHeight="1" x14ac:dyDescent="0.7"/>
    <row r="24" ht="180" customHeight="1" x14ac:dyDescent="0.7"/>
    <row r="25" ht="180" customHeight="1" x14ac:dyDescent="0.7"/>
    <row r="26" ht="180" customHeight="1" x14ac:dyDescent="0.7"/>
    <row r="27" ht="180" customHeight="1" x14ac:dyDescent="0.7"/>
    <row r="28" ht="180" customHeight="1" x14ac:dyDescent="0.7"/>
    <row r="29" ht="180" customHeight="1" x14ac:dyDescent="0.7"/>
    <row r="30" ht="180" customHeight="1" x14ac:dyDescent="0.7"/>
    <row r="31" ht="180" customHeight="1" x14ac:dyDescent="0.7"/>
    <row r="32" ht="180" customHeight="1" x14ac:dyDescent="0.7"/>
    <row r="33" ht="180" customHeight="1" x14ac:dyDescent="0.7"/>
    <row r="34" ht="180" customHeight="1" x14ac:dyDescent="0.7"/>
    <row r="35" ht="180" customHeight="1" x14ac:dyDescent="0.7"/>
    <row r="36" ht="180" customHeight="1" x14ac:dyDescent="0.7"/>
    <row r="37" ht="180" customHeight="1" x14ac:dyDescent="0.7"/>
    <row r="38" ht="180" customHeight="1" x14ac:dyDescent="0.7"/>
    <row r="39" ht="180" customHeight="1" x14ac:dyDescent="0.7"/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15" sqref="F15"/>
    </sheetView>
  </sheetViews>
  <sheetFormatPr defaultRowHeight="17.649999999999999" x14ac:dyDescent="0.7"/>
  <cols>
    <col min="4" max="4" width="13.25" customWidth="1"/>
    <col min="5" max="5" width="67" customWidth="1"/>
    <col min="6" max="6" width="98.375" customWidth="1"/>
    <col min="7" max="7" width="15.62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x14ac:dyDescent="0.7">
      <c r="A2" s="26">
        <v>1</v>
      </c>
      <c r="B2" s="26" t="s">
        <v>102</v>
      </c>
      <c r="C2" s="26" t="s">
        <v>102</v>
      </c>
      <c r="D2" s="26" t="s">
        <v>100</v>
      </c>
      <c r="E2" s="26" t="s">
        <v>104</v>
      </c>
      <c r="F2" s="26" t="s">
        <v>103</v>
      </c>
      <c r="G2" s="26"/>
      <c r="H2" s="26"/>
      <c r="I2" s="26"/>
      <c r="J2" s="26"/>
      <c r="K2" s="26"/>
      <c r="L2" s="26"/>
    </row>
    <row r="3" spans="1:12" x14ac:dyDescent="0.7">
      <c r="A3" s="26">
        <v>2</v>
      </c>
      <c r="B3" s="26" t="s">
        <v>102</v>
      </c>
      <c r="C3" s="26" t="s">
        <v>102</v>
      </c>
      <c r="D3" s="26" t="s">
        <v>99</v>
      </c>
      <c r="E3" s="36" t="s">
        <v>105</v>
      </c>
      <c r="F3" s="26" t="s">
        <v>103</v>
      </c>
      <c r="G3" s="26"/>
      <c r="H3" s="26"/>
      <c r="I3" s="26"/>
      <c r="J3" s="26"/>
      <c r="K3" s="26"/>
      <c r="L3" s="26"/>
    </row>
    <row r="4" spans="1:12" x14ac:dyDescent="0.7">
      <c r="A4" s="26">
        <v>3</v>
      </c>
      <c r="B4" s="26" t="s">
        <v>102</v>
      </c>
      <c r="C4" s="26" t="s">
        <v>102</v>
      </c>
      <c r="D4" s="26" t="s">
        <v>98</v>
      </c>
      <c r="E4" s="26" t="s">
        <v>104</v>
      </c>
      <c r="F4" s="26" t="s">
        <v>103</v>
      </c>
      <c r="G4" s="26"/>
      <c r="H4" s="26"/>
      <c r="I4" s="26"/>
      <c r="J4" s="26"/>
      <c r="K4" s="26"/>
      <c r="L4" s="26"/>
    </row>
    <row r="5" spans="1:12" x14ac:dyDescent="0.7">
      <c r="A5" s="26">
        <v>4</v>
      </c>
      <c r="B5" s="26" t="s">
        <v>102</v>
      </c>
      <c r="C5" s="26" t="s">
        <v>102</v>
      </c>
      <c r="D5" s="26" t="s">
        <v>97</v>
      </c>
      <c r="E5" s="26"/>
      <c r="F5" s="26" t="s">
        <v>103</v>
      </c>
      <c r="G5" s="26"/>
      <c r="H5" s="26"/>
      <c r="I5" s="26"/>
      <c r="J5" s="26"/>
      <c r="K5" s="26"/>
      <c r="L5" s="26"/>
    </row>
    <row r="6" spans="1:12" x14ac:dyDescent="0.7">
      <c r="A6" s="26">
        <v>5</v>
      </c>
      <c r="B6" s="26" t="s">
        <v>102</v>
      </c>
      <c r="C6" s="26" t="s">
        <v>102</v>
      </c>
      <c r="D6" s="26" t="s">
        <v>96</v>
      </c>
      <c r="E6" s="26"/>
      <c r="F6" s="26" t="s">
        <v>103</v>
      </c>
      <c r="G6" s="26"/>
      <c r="H6" s="26"/>
      <c r="I6" s="26"/>
      <c r="J6" s="26"/>
      <c r="K6" s="26"/>
      <c r="L6" s="26"/>
    </row>
    <row r="7" spans="1:12" x14ac:dyDescent="0.7">
      <c r="A7" s="26">
        <v>6</v>
      </c>
      <c r="B7" s="26" t="s">
        <v>102</v>
      </c>
      <c r="C7" s="26" t="s">
        <v>102</v>
      </c>
      <c r="D7" s="26" t="s">
        <v>95</v>
      </c>
      <c r="E7" s="26"/>
      <c r="F7" s="26" t="s">
        <v>103</v>
      </c>
      <c r="G7" s="26"/>
      <c r="H7" s="26"/>
      <c r="I7" s="26"/>
      <c r="J7" s="26"/>
      <c r="K7" s="26"/>
      <c r="L7" s="26"/>
    </row>
    <row r="8" spans="1:12" x14ac:dyDescent="0.7">
      <c r="A8" s="26">
        <v>7</v>
      </c>
      <c r="B8" s="26" t="s">
        <v>102</v>
      </c>
      <c r="C8" s="26" t="s">
        <v>102</v>
      </c>
      <c r="D8" s="26" t="s">
        <v>90</v>
      </c>
      <c r="E8" s="26"/>
      <c r="F8" s="26" t="s">
        <v>103</v>
      </c>
      <c r="G8" s="26"/>
      <c r="H8" s="26"/>
      <c r="I8" s="26"/>
      <c r="J8" s="26"/>
      <c r="K8" s="26"/>
      <c r="L8" s="26"/>
    </row>
    <row r="9" spans="1:12" x14ac:dyDescent="0.7">
      <c r="A9" s="26">
        <v>9</v>
      </c>
      <c r="B9" s="26" t="s">
        <v>102</v>
      </c>
      <c r="C9" s="26" t="s">
        <v>102</v>
      </c>
      <c r="D9" s="26" t="s">
        <v>91</v>
      </c>
      <c r="E9" s="26"/>
      <c r="F9" s="26" t="s">
        <v>103</v>
      </c>
      <c r="G9" s="26"/>
      <c r="H9" s="26"/>
      <c r="I9" s="26"/>
      <c r="J9" s="26"/>
      <c r="K9" s="26"/>
      <c r="L9" s="26"/>
    </row>
    <row r="10" spans="1:12" x14ac:dyDescent="0.7">
      <c r="A10" s="26">
        <v>10</v>
      </c>
      <c r="B10" s="26" t="s">
        <v>102</v>
      </c>
      <c r="C10" s="26" t="s">
        <v>102</v>
      </c>
      <c r="D10" s="26" t="s">
        <v>92</v>
      </c>
      <c r="E10" s="26"/>
      <c r="F10" s="29"/>
      <c r="G10" s="26"/>
      <c r="H10" s="26"/>
      <c r="I10" s="26"/>
      <c r="J10" s="26"/>
      <c r="K10" s="26"/>
      <c r="L10" s="26"/>
    </row>
    <row r="11" spans="1:12" x14ac:dyDescent="0.7">
      <c r="A11" s="26">
        <v>11</v>
      </c>
      <c r="B11" s="26" t="s">
        <v>102</v>
      </c>
      <c r="C11" s="26" t="s">
        <v>102</v>
      </c>
      <c r="D11" s="26" t="s">
        <v>93</v>
      </c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>
        <v>13</v>
      </c>
      <c r="B12" s="26" t="s">
        <v>102</v>
      </c>
      <c r="C12" s="26" t="s">
        <v>102</v>
      </c>
      <c r="D12" s="26" t="s">
        <v>94</v>
      </c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142875</xdr:colOff>
                    <xdr:row>1</xdr:row>
                    <xdr:rowOff>85725</xdr:rowOff>
                  </from>
                  <to>
                    <xdr:col>8</xdr:col>
                    <xdr:colOff>609600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33"/>
  <sheetViews>
    <sheetView workbookViewId="0">
      <pane ySplit="1" topLeftCell="A20" activePane="bottomLeft" state="frozen"/>
      <selection pane="bottomLeft" activeCell="O45" sqref="O45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0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7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 x14ac:dyDescent="0.7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 x14ac:dyDescent="0.7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 x14ac:dyDescent="0.7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 x14ac:dyDescent="0.7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 x14ac:dyDescent="0.7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 x14ac:dyDescent="0.7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 x14ac:dyDescent="0.7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 x14ac:dyDescent="0.7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 x14ac:dyDescent="0.7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 x14ac:dyDescent="0.7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95" spans="6:35" s="16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16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18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18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19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19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5" customFormat="1" x14ac:dyDescent="0.7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1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5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5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1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5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5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1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5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1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1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25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5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1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19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5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3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1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1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5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3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3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1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6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6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6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6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6" customFormat="1" x14ac:dyDescent="0.7"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6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6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6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6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6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6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6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6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6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 x14ac:dyDescent="0.7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</sheetData>
  <sortState xmlns:xlrd2="http://schemas.microsoft.com/office/spreadsheetml/2017/richdata2" ref="A2:AA233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1" x14ac:dyDescent="0.7">
      <c r="A1">
        <v>20191114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5"/>
  <sheetViews>
    <sheetView workbookViewId="0">
      <selection activeCell="E7" sqref="E7"/>
    </sheetView>
  </sheetViews>
  <sheetFormatPr defaultRowHeight="17.649999999999999" x14ac:dyDescent="0.7"/>
  <cols>
    <col min="1" max="1" width="20.125" style="24" customWidth="1"/>
    <col min="2" max="2" width="17.5" style="24" customWidth="1"/>
    <col min="3" max="3" width="14.2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3" s="26" customFormat="1" x14ac:dyDescent="0.7">
      <c r="A33" s="24">
        <v>43782.749421296299</v>
      </c>
      <c r="B33" s="24">
        <v>43782.791087962964</v>
      </c>
      <c r="C33" s="26">
        <v>6</v>
      </c>
    </row>
    <row r="34" spans="1:3" s="22" customFormat="1" x14ac:dyDescent="0.7">
      <c r="A34" s="24"/>
      <c r="B34" s="24"/>
    </row>
    <row r="35" spans="1:3" s="22" customFormat="1" x14ac:dyDescent="0.7">
      <c r="A35" s="24"/>
      <c r="B35" s="24"/>
    </row>
    <row r="36" spans="1:3" s="22" customFormat="1" x14ac:dyDescent="0.7">
      <c r="A36" s="24"/>
      <c r="B36" s="24"/>
    </row>
    <row r="37" spans="1:3" s="22" customFormat="1" x14ac:dyDescent="0.7">
      <c r="A37" s="24"/>
      <c r="B37" s="24"/>
    </row>
    <row r="38" spans="1:3" s="22" customFormat="1" x14ac:dyDescent="0.7">
      <c r="A38" s="24"/>
      <c r="B38" s="24"/>
    </row>
    <row r="39" spans="1:3" s="22" customFormat="1" x14ac:dyDescent="0.7">
      <c r="A39" s="24"/>
      <c r="B39" s="24"/>
    </row>
    <row r="40" spans="1:3" s="22" customFormat="1" x14ac:dyDescent="0.7">
      <c r="A40" s="24"/>
      <c r="B40" s="24"/>
    </row>
    <row r="41" spans="1:3" s="22" customFormat="1" x14ac:dyDescent="0.7">
      <c r="A41" s="24"/>
      <c r="B41" s="24"/>
    </row>
    <row r="42" spans="1:3" s="22" customFormat="1" x14ac:dyDescent="0.7">
      <c r="A42" s="24"/>
      <c r="B42" s="24"/>
    </row>
    <row r="43" spans="1:3" s="22" customFormat="1" x14ac:dyDescent="0.7">
      <c r="A43" s="24"/>
      <c r="B43" s="24"/>
    </row>
    <row r="44" spans="1:3" s="22" customFormat="1" x14ac:dyDescent="0.7">
      <c r="A44" s="24"/>
      <c r="B44" s="24"/>
    </row>
    <row r="45" spans="1:3" s="22" customFormat="1" x14ac:dyDescent="0.7">
      <c r="A45" s="24"/>
      <c r="B45" s="24"/>
    </row>
    <row r="46" spans="1:3" s="22" customFormat="1" x14ac:dyDescent="0.7">
      <c r="A46" s="24"/>
      <c r="B46" s="24"/>
    </row>
    <row r="47" spans="1:3" s="22" customFormat="1" x14ac:dyDescent="0.7">
      <c r="A47" s="24"/>
      <c r="B47" s="24"/>
    </row>
    <row r="48" spans="1:3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s="22" customFormat="1" x14ac:dyDescent="0.7">
      <c r="A53" s="24"/>
      <c r="B53" s="24"/>
    </row>
    <row r="54" spans="1:4" x14ac:dyDescent="0.7">
      <c r="A54" s="4"/>
      <c r="C54" s="3"/>
      <c r="D54" s="3"/>
    </row>
    <row r="55" spans="1:4" s="22" customFormat="1" x14ac:dyDescent="0.7">
      <c r="A55" s="4"/>
      <c r="B55" s="24"/>
      <c r="C55" s="3"/>
      <c r="D55" s="3"/>
    </row>
    <row r="56" spans="1:4" s="22" customFormat="1" x14ac:dyDescent="0.7">
      <c r="A56" s="4"/>
      <c r="B56" s="24"/>
      <c r="C56" s="3"/>
      <c r="D56" s="3"/>
    </row>
    <row r="57" spans="1:4" s="22" customFormat="1" x14ac:dyDescent="0.7">
      <c r="A57" s="4"/>
      <c r="B57" s="24"/>
      <c r="C57" s="3"/>
      <c r="D57" s="3"/>
    </row>
    <row r="58" spans="1:4" s="22" customFormat="1" x14ac:dyDescent="0.7">
      <c r="A58" s="4"/>
      <c r="B58" s="2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s="22" customFormat="1" x14ac:dyDescent="0.7">
      <c r="A72" s="4"/>
      <c r="B72" s="24"/>
      <c r="C72" s="3"/>
      <c r="D72" s="3"/>
    </row>
    <row r="73" spans="1:4" x14ac:dyDescent="0.7">
      <c r="A73" s="4"/>
      <c r="C73" s="3"/>
      <c r="D73" s="3"/>
    </row>
    <row r="74" spans="1:4" x14ac:dyDescent="0.7">
      <c r="A74" s="4"/>
      <c r="C74" s="3"/>
      <c r="D74" s="3"/>
    </row>
    <row r="75" spans="1:4" x14ac:dyDescent="0.7">
      <c r="A75" s="4"/>
      <c r="C75" s="3"/>
      <c r="D75" s="3"/>
    </row>
    <row r="76" spans="1:4" x14ac:dyDescent="0.7">
      <c r="A76" s="4"/>
      <c r="C76" s="3"/>
      <c r="D76" s="3"/>
    </row>
    <row r="77" spans="1:4" x14ac:dyDescent="0.7">
      <c r="A77" s="4"/>
      <c r="C77" s="3"/>
      <c r="D77" s="3"/>
    </row>
    <row r="78" spans="1:4" s="22" customFormat="1" x14ac:dyDescent="0.7">
      <c r="A78" s="4"/>
      <c r="B78" s="24"/>
      <c r="C78" s="3"/>
      <c r="D78" s="3"/>
    </row>
    <row r="79" spans="1:4" s="22" customFormat="1" x14ac:dyDescent="0.7">
      <c r="A79" s="4"/>
      <c r="B79" s="24"/>
      <c r="C79" s="3"/>
      <c r="D79" s="3"/>
    </row>
    <row r="80" spans="1:4" s="22" customFormat="1" x14ac:dyDescent="0.7">
      <c r="A80" s="4"/>
      <c r="B80" s="24"/>
      <c r="C80" s="3"/>
      <c r="D80" s="3"/>
    </row>
    <row r="81" spans="1:4" s="22" customFormat="1" x14ac:dyDescent="0.7">
      <c r="A81" s="4"/>
      <c r="B81" s="2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4"/>
      <c r="B89" s="24"/>
      <c r="C89" s="3"/>
      <c r="D89" s="3"/>
    </row>
    <row r="90" spans="1:4" s="22" customFormat="1" x14ac:dyDescent="0.7">
      <c r="A90" s="24"/>
      <c r="B90" s="24"/>
      <c r="C90" s="3"/>
    </row>
    <row r="91" spans="1:4" s="22" customFormat="1" x14ac:dyDescent="0.7">
      <c r="A91" s="24"/>
      <c r="B91" s="24"/>
      <c r="C91" s="3"/>
    </row>
    <row r="92" spans="1:4" s="22" customFormat="1" x14ac:dyDescent="0.7">
      <c r="A92" s="24"/>
      <c r="B92" s="24"/>
      <c r="C92" s="3"/>
    </row>
    <row r="93" spans="1:4" s="22" customFormat="1" x14ac:dyDescent="0.7">
      <c r="A93" s="24"/>
      <c r="B93" s="24"/>
      <c r="C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 s="3"/>
    </row>
    <row r="96" spans="1:4" s="22" customFormat="1" x14ac:dyDescent="0.7">
      <c r="A96" s="24"/>
      <c r="B96" s="24"/>
      <c r="C96"/>
    </row>
    <row r="97" spans="1:3" s="22" customFormat="1" x14ac:dyDescent="0.7">
      <c r="A97" s="24"/>
      <c r="B97" s="24"/>
      <c r="C97"/>
    </row>
    <row r="98" spans="1:3" s="22" customFormat="1" x14ac:dyDescent="0.7">
      <c r="A98" s="24"/>
      <c r="B98" s="24"/>
      <c r="C98"/>
    </row>
    <row r="99" spans="1:3" s="22" customFormat="1" x14ac:dyDescent="0.7">
      <c r="A99" s="24"/>
      <c r="B99" s="24"/>
      <c r="C99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  <row r="145" spans="1:3" s="22" customFormat="1" x14ac:dyDescent="0.7">
      <c r="A145" s="24"/>
      <c r="B145" s="24"/>
      <c r="C145"/>
    </row>
  </sheetData>
  <sortState xmlns:xlrd2="http://schemas.microsoft.com/office/spreadsheetml/2017/richdata2" ref="A2:C145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371475</xdr:colOff>
                    <xdr:row>0</xdr:row>
                    <xdr:rowOff>85725</xdr:rowOff>
                  </from>
                  <to>
                    <xdr:col>5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RowHeight="17.649999999999999" x14ac:dyDescent="0.7"/>
  <cols>
    <col min="1" max="1" width="12.125" bestFit="1" customWidth="1"/>
  </cols>
  <sheetData>
    <row r="1" spans="1:1" s="26" customFormat="1" x14ac:dyDescent="0.7">
      <c r="A1" s="26">
        <v>192202015</v>
      </c>
    </row>
    <row r="2" spans="1:1" s="26" customFormat="1" x14ac:dyDescent="0.7">
      <c r="A2" s="26">
        <v>232599444</v>
      </c>
    </row>
    <row r="3" spans="1:1" s="26" customFormat="1" x14ac:dyDescent="0.7"/>
    <row r="4" spans="1:1" s="26" customFormat="1" x14ac:dyDescent="0.7"/>
    <row r="6" spans="1:1" s="26" customFormat="1" x14ac:dyDescent="0.7"/>
    <row r="8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2019-11-13T16:03:28Z</dcterms:modified>
</cp:coreProperties>
</file>