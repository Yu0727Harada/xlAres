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AA61538B-1B45-4277-B136-5DFAB95DBDF1}" xr6:coauthVersionLast="41" xr6:coauthVersionMax="43" xr10:uidLastSave="{00000000-0000-0000-0000-000000000000}"/>
  <bookViews>
    <workbookView xWindow="-98" yWindow="-98" windowWidth="24196" windowHeight="1309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R4" i="14" l="1"/>
  <c r="Q5" i="14"/>
  <c r="Q4" i="14" l="1"/>
  <c r="K2" i="4" l="1"/>
  <c r="C21" i="4" l="1"/>
  <c r="E22" i="4" s="1"/>
  <c r="D4" i="4" l="1"/>
  <c r="D23" i="4"/>
  <c r="C5" i="4" s="1"/>
  <c r="F22" i="4"/>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 r="E4" i="4" l="1"/>
</calcChain>
</file>

<file path=xl/sharedStrings.xml><?xml version="1.0" encoding="utf-8"?>
<sst xmlns="http://schemas.openxmlformats.org/spreadsheetml/2006/main" count="233" uniqueCount="173">
  <si>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</si>
  <si>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</si>
  <si>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</si>
  <si>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</si>
  <si>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</si>
  <si>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</si>
  <si>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</si>
  <si>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</si>
  <si>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</si>
  <si>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</si>
  <si>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</si>
  <si>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ケーブル貸し出し有無</t>
    <rPh sb="4" eb="5">
      <t>カ</t>
    </rPh>
    <rPh sb="6" eb="7">
      <t>ダ</t>
    </rPh>
    <rPh sb="8" eb="10">
      <t>ウム</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</si>
  <si>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</si>
  <si>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</si>
  <si>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</si>
  <si>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</si>
  <si>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</si>
  <si>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</si>
  <si>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</si>
  <si>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</si>
  <si>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</si>
  <si>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</si>
  <si>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</si>
  <si>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現在時刻</t>
    <rPh sb="0" eb="2">
      <t>ゲンザイ</t>
    </rPh>
    <rPh sb="2" eb="4">
      <t>ジコク</t>
    </rPh>
    <phoneticPr fontId="1"/>
  </si>
  <si>
    <t>ワークシート再計算</t>
    <rPh sb="6" eb="9">
      <t>サイケイサン</t>
    </rPh>
    <phoneticPr fontId="1"/>
  </si>
  <si>
    <t>過去が入力できるかスイッチ→</t>
    <rPh sb="0" eb="2">
      <t>カコ</t>
    </rPh>
    <rPh sb="3" eb="5">
      <t>ニュウリョク</t>
    </rPh>
    <phoneticPr fontId="1"/>
  </si>
  <si>
    <t>メインシートソート</t>
    <phoneticPr fontId="1"/>
  </si>
  <si>
    <t>予約済が表示されないときにクリック→</t>
    <rPh sb="0" eb="2">
      <t>ヨヤク</t>
    </rPh>
    <rPh sb="2" eb="3">
      <t>ズ</t>
    </rPh>
    <rPh sb="4" eb="6">
      <t>ヒョウジ</t>
    </rPh>
    <phoneticPr fontId="1"/>
  </si>
  <si>
    <t>シートの色が更新されない時にクリックする→</t>
    <rPh sb="4" eb="5">
      <t>イロ</t>
    </rPh>
    <rPh sb="6" eb="8">
      <t>コウシン</t>
    </rPh>
    <rPh sb="12" eb="13">
      <t>トキ</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</si>
  <si>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</si>
  <si>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</si>
  <si>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</si>
  <si>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</si>
  <si>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</si>
  <si>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</si>
  <si>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</si>
  <si>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</si>
  <si>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</si>
  <si>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</si>
  <si>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</si>
  <si>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</si>
  <si>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</si>
  <si>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</si>
  <si>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</si>
  <si>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</si>
  <si>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</si>
  <si>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</si>
  <si>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</si>
  <si>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</si>
  <si>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</si>
  <si>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</si>
  <si>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</si>
  <si>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</si>
  <si>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</si>
  <si>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</si>
  <si>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</si>
  <si>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</si>
  <si>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</si>
  <si>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</si>
  <si>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</si>
  <si>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</si>
  <si>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</si>
  <si>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</si>
  <si>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</si>
  <si>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</si>
  <si>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</si>
  <si>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</si>
  <si>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</si>
  <si>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</si>
  <si>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</si>
  <si>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</si>
  <si>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</si>
  <si>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</si>
  <si>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</si>
  <si>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</si>
  <si>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</si>
  <si>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</si>
  <si>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</si>
  <si>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</si>
  <si>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</si>
  <si>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</si>
  <si>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</si>
  <si>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</si>
  <si>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</si>
  <si>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</si>
  <si>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</si>
  <si>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</si>
  <si>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</si>
  <si>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</si>
  <si>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</si>
  <si>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</si>
  <si>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</si>
  <si>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</si>
  <si>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</si>
  <si>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</si>
  <si>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</si>
  <si>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</si>
  <si>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</si>
  <si>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</si>
  <si>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</si>
  <si>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</si>
  <si>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</si>
  <si>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</si>
  <si>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</si>
  <si>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</si>
  <si>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</si>
  <si>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</si>
  <si>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</si>
  <si>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</si>
  <si>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</si>
  <si>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</si>
  <si>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</si>
  <si>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</si>
  <si>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</si>
  <si>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</si>
  <si>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</si>
  <si>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</si>
  <si>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</si>
  <si>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</si>
  <si>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</si>
  <si>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</si>
  <si>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</si>
  <si>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</si>
  <si>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</si>
  <si>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</si>
  <si>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</si>
  <si>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</si>
  <si>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</si>
  <si>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</si>
  <si>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</si>
  <si>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</si>
  <si>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</si>
  <si>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</si>
  <si>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</si>
  <si>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</si>
  <si>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</si>
  <si>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</si>
  <si>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</si>
  <si>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</si>
  <si>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</si>
  <si>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</si>
  <si>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</si>
  <si>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</si>
  <si>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</si>
  <si>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ディスプレイメモ</t>
    <phoneticPr fontId="1"/>
  </si>
  <si>
    <t>横幅</t>
    <rPh sb="0" eb="2">
      <t>ヨコハバ</t>
    </rPh>
    <phoneticPr fontId="1"/>
  </si>
  <si>
    <t>縦</t>
    <rPh sb="0" eb="1">
      <t>タテ</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</si>
  <si>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</si>
  <si>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</si>
  <si>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</si>
  <si>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</si>
  <si>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</si>
  <si>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</si>
  <si>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</si>
  <si>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</si>
  <si>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</si>
  <si>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</si>
  <si>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哲学科</t>
    <rPh sb="0" eb="3">
      <t>テツガクカ</t>
    </rPh>
    <phoneticPr fontId="1"/>
  </si>
  <si>
    <t>M1</t>
    <phoneticPr fontId="1"/>
  </si>
  <si>
    <t>白田猫の介</t>
    <rPh sb="0" eb="2">
      <t>シロタ</t>
    </rPh>
    <rPh sb="2" eb="3">
      <t>ネコ</t>
    </rPh>
    <rPh sb="4" eb="5">
      <t>スケ</t>
    </rPh>
    <phoneticPr fontId="1"/>
  </si>
  <si>
    <t/>
  </si>
  <si>
    <t>相関理化学</t>
    <rPh sb="0" eb="5">
      <t>ソウカンリカガク</t>
    </rPh>
    <phoneticPr fontId="1"/>
  </si>
  <si>
    <t>M2</t>
    <phoneticPr fontId="1"/>
  </si>
  <si>
    <t>まるです</t>
    <phoneticPr fontId="1"/>
  </si>
  <si>
    <t>まる</t>
    <phoneticPr fontId="1"/>
  </si>
  <si>
    <t>教育</t>
    <rPh sb="0" eb="2">
      <t>キョウイク</t>
    </rPh>
    <phoneticPr fontId="1"/>
  </si>
  <si>
    <t>原田たろ</t>
    <rPh sb="0" eb="2">
      <t>ハラダ</t>
    </rPh>
    <phoneticPr fontId="1"/>
  </si>
  <si>
    <t>でぶにゃん</t>
    <phoneticPr fontId="1"/>
  </si>
  <si>
    <t>きれいな白猫だにゃん</t>
    <rPh sb="4" eb="6">
      <t>シロネコ</t>
    </rPh>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</si>
  <si>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</si>
  <si>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</si>
  <si>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</si>
  <si>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off</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</si>
</sst>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8" formatCode="0.00_);[Red]\(0.00\)"/>
    <numFmt numFmtId="179" formatCode="yyyy/m/d\ h:mm;@"/>
  </numFmts>
  <fonts count="10"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4"/>
      <color theme="1"/>
      <name val="源ノ角ゴシック JP"/>
      <family val="2"/>
      <charset val="128"/>
    </font>
    <font>
      <sz val="22"/>
      <color theme="1"/>
      <name val="源ノ角ゴシック JP"/>
      <family val="2"/>
      <charset val="128"/>
    </font>
    <font>
      <sz val="26"/>
      <color theme="1"/>
      <name val="源ノ角ゴシック JP"/>
      <family val="2"/>
      <charset val="128"/>
    </font>
    <font>
      <sz val="16"/>
      <color theme="1"/>
      <name val="源ノ角ゴシック JP"/>
      <family val="2"/>
      <charset val="128"/>
    </font>
    <font>
      <sz val="11"/>
      <color rgb="FF000000"/>
      <name val="游ゴシック"/>
      <family val="3"/>
      <charset val="128"/>
    </font>
  </fonts>
  <fills count="5">
    <fill>
      <patternFill patternType="none"/>
    </fill>
    <fill>
      <patternFill patternType="gray125"/>
    </fill>
    <fill>
      <patternFill patternType="solid">
        <fgColor rgb="FFFFFF00"/>
        <bgColor indexed="64"/>
      </patternFill>
    </fill>
    <fill>
      <patternFill patternType="solid">
        <fgColor rgb="FFD4EAFC"/>
        <bgColor indexed="64"/>
      </patternFill>
    </fill>
    <fill>
      <patternFill patternType="solid">
        <fgColor rgb="FFA2B3C1"/>
        <bgColor indexed="64"/>
      </patternFill>
    </fill>
  </fills>
  <borders count="1">
    <border>
      <left/>
      <right/>
      <top/>
      <bottom/>
      <diagonal/>
    </border>
  </borders>
  <cellStyleXfs count="1">
    <xf numFmtId="0" fontId="0" fillId="0" borderId="0">
      <alignment vertical="center"/>
    </xf>
  </cellStyleXfs>
  <cellXfs count="32">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49" fontId="0" fillId="0" borderId="0" xfId="0" applyNumberFormat="1">
      <alignment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14" fontId="5" fillId="0" borderId="0" xfId="0" applyNumberFormat="1" applyFont="1" applyAlignment="1">
      <alignment horizontal="center" vertical="center"/>
    </xf>
    <xf numFmtId="177" fontId="4" fillId="0" borderId="0" xfId="0" applyNumberFormat="1" applyFont="1" applyAlignment="1">
      <alignment horizontal="center" vertical="center"/>
    </xf>
    <xf numFmtId="14" fontId="8" fillId="0" borderId="0" xfId="0" applyNumberFormat="1" applyFont="1" applyAlignment="1">
      <alignment horizontal="center" vertical="center"/>
    </xf>
    <xf numFmtId="19" fontId="8" fillId="0" borderId="0" xfId="0" applyNumberFormat="1" applyFont="1" applyAlignment="1">
      <alignment horizontal="center" vertical="center"/>
    </xf>
    <xf numFmtId="178" fontId="0" fillId="0" borderId="0" xfId="0" applyNumberFormat="1">
      <alignment vertical="center"/>
    </xf>
    <xf numFmtId="0" fontId="0" fillId="0" borderId="0" xfId="0" applyFill="1" applyBorder="1">
      <alignment vertical="center"/>
    </xf>
    <xf numFmtId="179" fontId="0" fillId="0" borderId="0" xfId="0" applyNumberFormat="1">
      <alignment vertical="center"/>
    </xf>
    <xf numFmtId="0" fontId="0" fillId="0" borderId="0" xfId="0" applyFill="1" applyBorder="1">
      <alignment vertical="center"/>
    </xf>
    <xf numFmtId="49" fontId="0" fillId="0" borderId="0" xfId="0" applyNumberFormat="1" applyAlignment="1">
      <alignment horizontal="center"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6" fillId="0" borderId="0" xfId="0" applyFont="1" applyFill="1" applyBorder="1" applyAlignment="1">
      <alignment horizontal="center" vertical="center"/>
    </xf>
    <xf numFmtId="0" fontId="7" fillId="4" borderId="0" xfId="0" applyFont="1" applyFill="1" applyBorder="1" applyAlignment="1">
      <alignment horizontal="center" vertical="center" wrapText="1"/>
    </xf>
    <xf numFmtId="0" fontId="7" fillId="3" borderId="0" xfId="0" applyFont="1" applyFill="1" applyBorder="1" applyAlignment="1">
      <alignment horizontal="center" vertical="center" wrapText="1"/>
    </xf>
    <xf numFmtId="0" fontId="4" fillId="0" borderId="0" xfId="0" applyFont="1" applyFill="1" applyBorder="1" applyAlignment="1">
      <alignment horizontal="center" vertical="center" textRotation="255"/>
    </xf>
  </cellXfs>
  <cellStyles count="1">
    <cellStyle name="標準" xfId="0" builtinId="0"/>
  </cellStyles>
  <dxfs count="0"/>
  <tableStyles count="0" defaultTableStyle="TableStyleMedium2" defaultPivotStyle="PivotStyleLight16"/>
  <colors>
    <mruColors>
      <color rgb="FFFFFFFF"/>
      <color rgb="FF6D94E1"/>
      <color rgb="FFD4EAFC"/>
      <color rgb="FFC0D3E4"/>
      <color rgb="FFA2B3C1"/>
      <color rgb="FFC0D9F2"/>
      <color rgb="FFA3C4EF"/>
      <color rgb="FF9AB5EA"/>
      <color rgb="FFA5C8E5"/>
      <color rgb="FFD6E2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166689</xdr:colOff>
          <xdr:row>3</xdr:row>
          <xdr:rowOff>50801</xdr:rowOff>
        </xdr:from>
        <xdr:to>
          <xdr:col>12</xdr:col>
          <xdr:colOff>801542</xdr:colOff>
          <xdr:row>5</xdr:row>
          <xdr:rowOff>690562</xdr:rowOff>
        </xdr:to>
        <xdr:pic>
          <xdr:nvPicPr>
            <xdr:cNvPr id="5" name="図 4">
              <a:extLst>
                <a:ext uri="{FF2B5EF4-FFF2-40B4-BE49-F238E27FC236}">
                  <a16:creationId xmlns:a16="http://schemas.microsoft.com/office/drawing/2014/main" id="{00000000-0008-0000-0000-000005000000}"/>
                </a:ext>
              </a:extLst>
            </xdr:cNvPr>
            <xdr:cNvPicPr>
              <a:picLocks noChangeAspect="1"/>
              <a:extLst>
                <a:ext uri="{84589F7E-364E-4C9E-8A38-B11213B215E9}">
                  <a14:cameraTool cellRange="出力!B1" spid="_x0000_s2692"/>
                </a:ext>
              </a:extLst>
            </xdr:cNvPicPr>
          </xdr:nvPicPr>
          <xdr:blipFill>
            <a:blip xmlns:r="http://schemas.openxmlformats.org/officeDocument/2006/relationships" r:embed="rId1"/>
            <a:stretch>
              <a:fillRect/>
            </a:stretch>
          </xdr:blipFill>
          <xdr:spPr>
            <a:xfrm>
              <a:off x="11352612" y="1187849"/>
              <a:ext cx="3754290" cy="2413792"/>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142875</xdr:colOff>
          <xdr:row>6</xdr:row>
          <xdr:rowOff>119062</xdr:rowOff>
        </xdr:from>
        <xdr:to>
          <xdr:col>12</xdr:col>
          <xdr:colOff>777728</xdr:colOff>
          <xdr:row>11</xdr:row>
          <xdr:rowOff>80167</xdr:rowOff>
        </xdr:to>
        <xdr:pic>
          <xdr:nvPicPr>
            <xdr:cNvPr id="3" name="図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出力!B2" spid="_x0000_s2693"/>
                </a:ext>
              </a:extLst>
            </xdr:cNvPicPr>
          </xdr:nvPicPr>
          <xdr:blipFill>
            <a:blip xmlns:r="http://schemas.openxmlformats.org/officeDocument/2006/relationships" r:embed="rId2"/>
            <a:stretch>
              <a:fillRect/>
            </a:stretch>
          </xdr:blipFill>
          <xdr:spPr>
            <a:xfrm>
              <a:off x="11328798" y="3917156"/>
              <a:ext cx="3754290" cy="2413792"/>
            </a:xfrm>
            <a:prstGeom prst="rect">
              <a:avLst/>
            </a:prstGeom>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242888</xdr:colOff>
          <xdr:row>3</xdr:row>
          <xdr:rowOff>14288</xdr:rowOff>
        </xdr:from>
        <xdr:to>
          <xdr:col>9</xdr:col>
          <xdr:colOff>552450</xdr:colOff>
          <xdr:row>5</xdr:row>
          <xdr:rowOff>133350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プロフィールの更新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647700</xdr:colOff>
          <xdr:row>0</xdr:row>
          <xdr:rowOff>114300</xdr:rowOff>
        </xdr:from>
        <xdr:to>
          <xdr:col>8</xdr:col>
          <xdr:colOff>76200</xdr:colOff>
          <xdr:row>1</xdr:row>
          <xdr:rowOff>204788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N26"/>
  <sheetViews>
    <sheetView tabSelected="1" topLeftCell="B1" zoomScale="80" zoomScaleNormal="80" workbookViewId="0">
      <selection activeCell="I2" sqref="I2"/>
    </sheetView>
  </sheetViews>
  <sheetFormatPr defaultColWidth="8.8125" defaultRowHeight="17.649999999999999" x14ac:dyDescent="0.7"/>
  <cols>
    <col min="1" max="1" width="6.0625" customWidth="1"/>
    <col min="2" max="2" width="4.75" customWidth="1"/>
    <col min="3" max="9" width="18.5625" customWidth="1"/>
    <col min="10" max="10" width="5.75" customWidth="1"/>
    <col min="11" max="11" width="20.5" customWidth="1"/>
    <col min="12" max="12" width="20.4375" customWidth="1"/>
    <col min="13" max="13" width="13.25" customWidth="1"/>
    <col min="14" max="14" width="15.5" customWidth="1"/>
  </cols>
  <sheetData>
    <row r="1" spans="1:14" ht="22.9" customHeight="1" x14ac:dyDescent="0.7">
      <c r="B1" s="14"/>
      <c r="K1" s="17" t="s">
        <v>29</v>
      </c>
      <c r="L1" s="18" t="s">
        <v>23</v>
      </c>
    </row>
    <row r="2" spans="1:14" ht="36.4" customHeight="1" x14ac:dyDescent="0.7">
      <c r="A2" s="20"/>
      <c r="B2" s="24"/>
      <c r="C2" s="20"/>
      <c r="D2" s="20"/>
      <c r="E2" s="25"/>
      <c r="F2" s="26" t="s">
        <v>13</v>
      </c>
      <c r="G2" s="25"/>
      <c r="H2" s="25"/>
      <c r="I2" s="25"/>
      <c r="K2" s="15">
        <f ca="1">TODAY()</f>
        <v>43723</v>
      </c>
      <c r="L2" s="16">
        <f ca="1">NOW()-INT(NOW())</f>
        <v>0.77794733796326909</v>
      </c>
      <c r="N2" s="2"/>
    </row>
    <row r="3" spans="1:14" ht="30" customHeight="1" x14ac:dyDescent="0.7">
      <c r="A3" s="20"/>
      <c r="B3" s="27"/>
      <c r="C3" s="28" t="s">
        <v>14</v>
      </c>
      <c r="D3" s="28" t="s">
        <v>15</v>
      </c>
      <c r="E3" s="28" t="s">
        <v>17</v>
      </c>
      <c r="F3" s="28" t="s">
        <v>16</v>
      </c>
      <c r="G3" s="28" t="s">
        <v>18</v>
      </c>
      <c r="H3" s="28" t="s">
        <v>19</v>
      </c>
      <c r="I3" s="28" t="s">
        <v>20</v>
      </c>
      <c r="K3" s="5"/>
      <c r="N3" s="4"/>
    </row>
    <row r="4" spans="1:14" ht="70.05" customHeight="1" x14ac:dyDescent="0.7">
      <c r="A4" s="20"/>
      <c r="B4" s="26">
        <v>1</v>
      </c>
      <c r="C4" s="29" t="str">
        <f ca="1">IF(ISNUMBER(IF(INDEX(生データ!$D:$D,MATCH(D22,生データ!$D:$D,1))=D22,VLOOKUP(D22,生データ!$D:$F,3,TRUE),)),"予約済"&amp;IF(VLOOKUP(D22,生データ!$D:$F,2,TRUE)=1,"(貸出中)",""),"")</f>
        <v/>
      </c>
      <c r="D4" s="29" t="str">
        <f ca="1">IF(ISNUMBER(IF(INDEX(生データ!$D:$D,MATCH(E22,生データ!$D:$D,1))=E22,VLOOKUP(E22,生データ!$D:$F,3,TRUE),)),"予約済"&amp;IF(VLOOKUP(E22,生データ!$D:$F,2,TRUE)=1,"(貸出中)",""),"")</f>
        <v/>
      </c>
      <c r="E4" s="29" t="str">
        <f ca="1">IF(ISNUMBER(IF(INDEX(生データ!$D:$D,MATCH(F22,生データ!$D:$D,1))=F22,VLOOKUP(F22,生データ!$D:$F,3,TRUE),)),"予約済"&amp;IF(VLOOKUP(F22,生データ!$D:$F,2,TRUE)=1,"(貸出中)",""),"")</f>
        <v/>
      </c>
      <c r="F4" s="29" t="str">
        <f ca="1">IF(ISNUMBER(IF(INDEX(生データ!$D:$D,MATCH(G22,生データ!$D:$D,1))=G22,VLOOKUP(G22,生データ!$D:$F,3,TRUE),)),"予約済"&amp;IF(VLOOKUP(G22,生データ!$D:$F,2,TRUE)=1,"(貸出中)",""),"")</f>
        <v/>
      </c>
      <c r="G4" s="29" t="str">
        <f ca="1">IF(ISNUMBER(IF(INDEX(生データ!$D:$D,MATCH(H22,生データ!$D:$D,1))=H22,VLOOKUP(H22,生データ!$D:$F,3,TRUE),)),"予約済"&amp;IF(VLOOKUP(H22,生データ!$D:$F,2,TRUE)=1,"(貸出中)",""),"")</f>
        <v/>
      </c>
      <c r="H4" s="29" t="str">
        <f ca="1">IF(ISNUMBER(IF(INDEX(生データ!$D:$D,MATCH(I22,生データ!$D:$D,1))=I22,VLOOKUP(I22,生データ!$D:$F,3,TRUE),)),"予約済"&amp;IF(VLOOKUP(I22,生データ!$D:$F,2,TRUE)=1,"(貸出中)",""),"")</f>
        <v/>
      </c>
      <c r="I4" s="30" t="str">
        <f ca="1">IF(ISNUMBER(IF(INDEX(生データ!$D:$D,MATCH(J22,生データ!$D:$D,1))=J22,VLOOKUP(J22,生データ!$D:$F,3,TRUE),)),"予約済"&amp;IF(VLOOKUP(J22,生データ!$D:$F,2,TRUE)=1,"(貸出中)",""),"")</f>
        <v/>
      </c>
      <c r="K4" s="22"/>
      <c r="L4" s="22"/>
      <c r="M4" s="23"/>
      <c r="N4" s="23"/>
    </row>
    <row r="5" spans="1:14" ht="70.05" customHeight="1" x14ac:dyDescent="0.7">
      <c r="A5" s="31" t="s">
        <v>12</v>
      </c>
      <c r="B5" s="26">
        <v>2</v>
      </c>
      <c r="C5" s="29" t="str">
        <f ca="1">IF(ISNUMBER(IF(INDEX(生データ!$D:$D,MATCH(D23,生データ!$D:$D,1))=D23,VLOOKUP(D23,生データ!$D:$F,3,TRUE),)),"予約済"&amp;IF(VLOOKUP(D23,生データ!$D:$F,2,TRUE)=1,"(貸出中)",""),"")</f>
        <v/>
      </c>
      <c r="D5" s="29" t="str">
        <f ca="1">IF(ISNUMBER(IF(INDEX(生データ!$D:$D,MATCH(E23,生データ!$D:$D,1))=E23,VLOOKUP(E23,生データ!$D:$F,3,TRUE),)),"予約済"&amp;IF(VLOOKUP(E23,生データ!$D:$F,2,TRUE)=1,"(貸出中)",""),"")</f>
        <v/>
      </c>
      <c r="E5" s="29" t="str">
        <f ca="1">IF(ISNUMBER(IF(INDEX(生データ!$D:$D,MATCH(F23,生データ!$D:$D,1))=F23,VLOOKUP(F23,生データ!$D:$F,3,TRUE),)),"予約済"&amp;IF(VLOOKUP(F23,生データ!$D:$F,2,TRUE)=1,"(貸出中)",""),"")</f>
        <v/>
      </c>
      <c r="F5" s="29" t="str">
        <f ca="1">IF(ISNUMBER(IF(INDEX(生データ!$D:$D,MATCH(G23,生データ!$D:$D,1))=G23,VLOOKUP(G23,生データ!$D:$F,3,TRUE),)),"予約済"&amp;IF(VLOOKUP(G23,生データ!$D:$F,2,TRUE)=1,"(貸出中)",""),"")</f>
        <v/>
      </c>
      <c r="G5" s="29" t="str">
        <f ca="1">IF(ISNUMBER(IF(INDEX(生データ!$D:$D,MATCH(H23,生データ!$D:$D,1))=H23,VLOOKUP(H23,生データ!$D:$F,3,TRUE),)),"予約済"&amp;IF(VLOOKUP(H23,生データ!$D:$F,2,TRUE)=1,"(貸出中)",""),"")</f>
        <v/>
      </c>
      <c r="H5" s="29" t="str">
        <f ca="1">IF(ISNUMBER(IF(INDEX(生データ!$D:$D,MATCH(I23,生データ!$D:$D,1))=I23,VLOOKUP(I23,生データ!$D:$F,3,TRUE),)),"予約済"&amp;IF(VLOOKUP(I23,生データ!$D:$F,2,TRUE)=1,"(貸出中)",""),"")</f>
        <v/>
      </c>
      <c r="I5" s="30" t="str">
        <f ca="1">IF(ISNUMBER(IF(INDEX(生データ!$D:$D,MATCH(J23,生データ!$D:$D,1))=J23,VLOOKUP(J23,生データ!$D:$F,3,TRUE),)),"予約済"&amp;IF(VLOOKUP(J23,生データ!$D:$F,2,TRUE)=1,"(貸出中)",""),"")</f>
        <v/>
      </c>
      <c r="K5" s="22"/>
      <c r="L5" s="22"/>
      <c r="M5" s="23"/>
      <c r="N5" s="23"/>
    </row>
    <row r="6" spans="1:14" ht="70.05" customHeight="1" x14ac:dyDescent="0.7">
      <c r="A6" s="31"/>
      <c r="B6" s="26">
        <v>3</v>
      </c>
      <c r="C6" s="29" t="str">
        <f ca="1">IF(ISNUMBER(IF(INDEX(生データ!$D:$D,MATCH(D24,生データ!$D:$D,1))=D24,VLOOKUP(D24,生データ!$D:$F,3,TRUE),)),"予約済"&amp;IF(VLOOKUP(D24,生データ!$D:$F,2,TRUE)=1,"(貸出中)",""),"")</f>
        <v/>
      </c>
      <c r="D6" s="29" t="str">
        <f ca="1">IF(ISNUMBER(IF(INDEX(生データ!$D:$D,MATCH(E24,生データ!$D:$D,1))=E24,VLOOKUP(E24,生データ!$D:$F,3,TRUE),)),"予約済"&amp;IF(VLOOKUP(E24,生データ!$D:$F,2,TRUE)=1,"(貸出中)",""),"")</f>
        <v/>
      </c>
      <c r="E6" s="29" t="str">
        <f ca="1">IF(ISNUMBER(IF(INDEX(生データ!$D:$D,MATCH(F24,生データ!$D:$D,1))=F24,VLOOKUP(F24,生データ!$D:$F,3,TRUE),)),"予約済"&amp;IF(VLOOKUP(F24,生データ!$D:$F,2,TRUE)=1,"(貸出中)",""),"")</f>
        <v/>
      </c>
      <c r="F6" s="29" t="str">
        <f ca="1">IF(ISNUMBER(IF(INDEX(生データ!$D:$D,MATCH(G24,生データ!$D:$D,1))=G24,VLOOKUP(G24,生データ!$D:$F,3,TRUE),)),"予約済"&amp;IF(VLOOKUP(G24,生データ!$D:$F,2,TRUE)=1,"(貸出中)",""),"")</f>
        <v/>
      </c>
      <c r="G6" s="29" t="str">
        <f ca="1">IF(ISNUMBER(IF(INDEX(生データ!$D:$D,MATCH(H24,生データ!$D:$D,1))=H24,VLOOKUP(H24,生データ!$D:$F,3,TRUE),)),"予約済"&amp;IF(VLOOKUP(H24,生データ!$D:$F,2,TRUE)=1,"(貸出中)",""),"")</f>
        <v/>
      </c>
      <c r="H6" s="29" t="str">
        <f ca="1">IF(ISNUMBER(IF(INDEX(生データ!$D:$D,MATCH(I24,生データ!$D:$D,1))=I24,VLOOKUP(I24,生データ!$D:$F,3,TRUE),)),"予約済"&amp;IF(VLOOKUP(I24,生データ!$D:$F,2,TRUE)=1,"(貸出中)",""),"")</f>
        <v/>
      </c>
      <c r="I6" s="30" t="str">
        <f ca="1">IF(ISNUMBER(IF(INDEX(生データ!$D:$D,MATCH(J24,生データ!$D:$D,1))=J24,VLOOKUP(J24,生データ!$D:$F,3,TRUE),)),"予約済"&amp;IF(VLOOKUP(J24,生データ!$D:$F,2,TRUE)=1,"(貸出中)",""),"")</f>
        <v/>
      </c>
    </row>
    <row r="7" spans="1:14" ht="70.05" customHeight="1" x14ac:dyDescent="0.7">
      <c r="A7" s="31"/>
      <c r="B7" s="26">
        <v>4</v>
      </c>
      <c r="C7" s="29" t="str">
        <f ca="1">IF(ISNUMBER(IF(INDEX(生データ!$D:$D,MATCH(D25,生データ!$D:$D,1))=D25,VLOOKUP(D25,生データ!$D:$F,3,TRUE),)),"予約済"&amp;IF(VLOOKUP(D25,生データ!$D:$F,2,TRUE)=1,"(貸出中)",""),"")</f>
        <v/>
      </c>
      <c r="D7" s="29" t="str">
        <f ca="1">IF(ISNUMBER(IF(INDEX(生データ!$D:$D,MATCH(E25,生データ!$D:$D,1))=E25,VLOOKUP(E25,生データ!$D:$F,3,TRUE),)),"予約済"&amp;IF(VLOOKUP(E25,生データ!$D:$F,2,TRUE)=1,"(貸出中)",""),"")</f>
        <v/>
      </c>
      <c r="E7" s="29" t="str">
        <f ca="1">IF(ISNUMBER(IF(INDEX(生データ!$D:$D,MATCH(F25,生データ!$D:$D,1))=F25,VLOOKUP(F25,生データ!$D:$F,3,TRUE),)),"予約済"&amp;IF(VLOOKUP(F25,生データ!$D:$F,2,TRUE)=1,"(貸出中)",""),"")</f>
        <v/>
      </c>
      <c r="F7" s="29" t="str">
        <f ca="1">IF(ISNUMBER(IF(INDEX(生データ!$D:$D,MATCH(G25,生データ!$D:$D,1))=G25,VLOOKUP(G25,生データ!$D:$F,3,TRUE),)),"予約済"&amp;IF(VLOOKUP(G25,生データ!$D:$F,2,TRUE)=1,"(貸出中)",""),"")</f>
        <v/>
      </c>
      <c r="G7" s="29" t="str">
        <f ca="1">IF(ISNUMBER(IF(INDEX(生データ!$D:$D,MATCH(H25,生データ!$D:$D,1))=H25,VLOOKUP(H25,生データ!$D:$F,3,TRUE),)),"予約済"&amp;IF(VLOOKUP(H25,生データ!$D:$F,2,TRUE)=1,"(貸出中)",""),"")</f>
        <v/>
      </c>
      <c r="H7" s="29" t="str">
        <f ca="1">IF(ISNUMBER(IF(INDEX(生データ!$D:$D,MATCH(I25,生データ!$D:$D,1))=I25,VLOOKUP(I25,生データ!$D:$F,3,TRUE),)),"予約済"&amp;IF(VLOOKUP(I25,生データ!$D:$F,2,TRUE)=1,"(貸出中)",""),"")</f>
        <v/>
      </c>
      <c r="I7" s="30" t="str">
        <f ca="1">IF(ISNUMBER(IF(INDEX(生データ!$D:$D,MATCH(J25,生データ!$D:$D,1))=J25,VLOOKUP(J25,生データ!$D:$F,3,TRUE),)),"予約済"&amp;IF(VLOOKUP(J25,生データ!$D:$F,2,TRUE)=1,"(貸出中)",""),"")</f>
        <v/>
      </c>
      <c r="L7" s="6"/>
    </row>
    <row r="8" spans="1:14" ht="70.05" customHeight="1" x14ac:dyDescent="0.7">
      <c r="A8" s="25"/>
      <c r="B8" s="26">
        <v>5</v>
      </c>
      <c r="C8" s="29" t="str">
        <f ca="1">IF(ISNUMBER(IF(INDEX(生データ!$D:$D,MATCH(D26,生データ!$D:$D,1))=D26,VLOOKUP(D26,生データ!$D:$F,3,TRUE),)),"予約済"&amp;IF(VLOOKUP(D26,生データ!$D:$F,2,TRUE)=1,"(貸出中)",""),"")</f>
        <v/>
      </c>
      <c r="D8" s="29" t="str">
        <f ca="1">IF(ISNUMBER(IF(INDEX(生データ!$D:$D,MATCH(E26,生データ!$D:$D,1))=E26,VLOOKUP(E26,生データ!$D:$F,3,TRUE),)),"予約済"&amp;IF(VLOOKUP(E26,生データ!$D:$F,2,TRUE)=1,"(貸出中)",""),"")</f>
        <v/>
      </c>
      <c r="E8" s="29" t="str">
        <f ca="1">IF(ISNUMBER(IF(INDEX(生データ!$D:$D,MATCH(F26,生データ!$D:$D,1))=F26,VLOOKUP(F26,生データ!$D:$F,3,TRUE),)),"予約済"&amp;IF(VLOOKUP(F26,生データ!$D:$F,2,TRUE)=1,"(貸出中)",""),"")</f>
        <v/>
      </c>
      <c r="F8" s="29" t="str">
        <f ca="1">IF(ISNUMBER(IF(INDEX(生データ!$D:$D,MATCH(G26,生データ!$D:$D,1))=G26,VLOOKUP(G26,生データ!$D:$F,3,TRUE),)),"予約済"&amp;IF(VLOOKUP(G26,生データ!$D:$F,2,TRUE)=1,"(貸出中)",""),"")</f>
        <v/>
      </c>
      <c r="G8" s="29" t="str">
        <f ca="1">IF(ISNUMBER(IF(INDEX(生データ!$D:$D,MATCH(H26,生データ!$D:$D,1))=H26,VLOOKUP(H26,生データ!$D:$F,3,TRUE),)),"予約済"&amp;IF(VLOOKUP(H26,生データ!$D:$F,2,TRUE)=1,"(貸出中)",""),"")</f>
        <v/>
      </c>
      <c r="H8" s="29" t="str">
        <f ca="1">IF(ISNUMBER(IF(INDEX(生データ!$D:$D,MATCH(I26,生データ!$D:$D,1))=I26,VLOOKUP(I26,生データ!$D:$F,3,TRUE),)),"予約済"&amp;IF(VLOOKUP(I26,生データ!$D:$F,2,TRUE)=1,"(貸出中)",""),"")</f>
        <v/>
      </c>
      <c r="I8" s="30" t="str">
        <f ca="1">IF(ISNUMBER(IF(INDEX(生データ!$D:$D,MATCH(J26,生データ!$D:$D,1))=J26,VLOOKUP(J26,生データ!$D:$F,3,TRUE),)),"予約済"&amp;IF(VLOOKUP(J26,生データ!$D:$F,2,TRUE)=1,"(貸出中)",""),"")</f>
        <v/>
      </c>
    </row>
    <row r="9" spans="1:14" x14ac:dyDescent="0.7">
      <c r="C9">
        <v>0</v>
      </c>
      <c r="D9">
        <v>0</v>
      </c>
      <c r="E9">
        <v>0</v>
      </c>
      <c r="F9">
        <v>0</v>
      </c>
      <c r="G9">
        <v>0</v>
      </c>
    </row>
    <row r="12" spans="1:14" ht="58.9" customHeight="1" x14ac:dyDescent="0.7">
      <c r="H12" s="1" t="s">
        <v>28</v>
      </c>
      <c r="I12" t="s">
        <v>24</v>
      </c>
    </row>
    <row r="13" spans="1:14" ht="41.65" customHeight="1" x14ac:dyDescent="0.7">
      <c r="H13" s="1" t="s">
        <v>25</v>
      </c>
      <c r="I13" t="s">
        <v>172</v>
      </c>
    </row>
    <row r="14" spans="1:14" ht="58.9" customHeight="1" x14ac:dyDescent="0.7">
      <c r="H14" s="1" t="s">
        <v>27</v>
      </c>
      <c r="I14" t="s">
        <v>26</v>
      </c>
    </row>
    <row r="17" spans="3:10" x14ac:dyDescent="0.7">
      <c r="G17" s="7"/>
      <c r="H17" s="3"/>
    </row>
    <row r="18" spans="3:10" x14ac:dyDescent="0.7">
      <c r="G18" s="7"/>
      <c r="H18" s="3"/>
    </row>
    <row r="19" spans="3:10" x14ac:dyDescent="0.7">
      <c r="C19" s="3"/>
      <c r="D19" s="3"/>
      <c r="G19" s="7"/>
      <c r="H19" s="3"/>
    </row>
    <row r="20" spans="3:10" x14ac:dyDescent="0.7">
      <c r="C20" s="3"/>
      <c r="D20" s="3"/>
      <c r="G20" s="7"/>
      <c r="H20" s="3"/>
    </row>
    <row r="21" spans="3:10" hidden="1" x14ac:dyDescent="0.7">
      <c r="C21" s="3" t="str">
        <f ca="1">TEXT(K2,"yyyymmdd")</f>
        <v>20190915</v>
      </c>
      <c r="D21" s="3">
        <v>1</v>
      </c>
      <c r="E21">
        <v>2</v>
      </c>
      <c r="F21" s="3">
        <v>3</v>
      </c>
      <c r="G21" s="3">
        <v>4</v>
      </c>
      <c r="H21" s="3">
        <v>5</v>
      </c>
      <c r="I21" s="3">
        <v>6</v>
      </c>
      <c r="J21" s="3">
        <v>7</v>
      </c>
    </row>
    <row r="22" spans="3:10" hidden="1" x14ac:dyDescent="0.7">
      <c r="C22" s="3">
        <v>1</v>
      </c>
      <c r="D22" s="3">
        <f ca="1">$C$21*100+D$21*10+$C22</f>
        <v>2019091511</v>
      </c>
      <c r="E22" s="3">
        <f t="shared" ref="E22:J22" ca="1" si="0">$C$21*100+E$21*10+$C22</f>
        <v>2019091521</v>
      </c>
      <c r="F22" s="3">
        <f t="shared" ca="1" si="0"/>
        <v>2019091531</v>
      </c>
      <c r="G22" s="3">
        <f t="shared" ca="1" si="0"/>
        <v>2019091541</v>
      </c>
      <c r="H22" s="3">
        <f t="shared" ca="1" si="0"/>
        <v>2019091551</v>
      </c>
      <c r="I22" s="3">
        <f t="shared" ca="1" si="0"/>
        <v>2019091561</v>
      </c>
      <c r="J22" s="3">
        <f t="shared" ca="1" si="0"/>
        <v>2019091571</v>
      </c>
    </row>
    <row r="23" spans="3:10" hidden="1" x14ac:dyDescent="0.7">
      <c r="C23" s="3">
        <v>2</v>
      </c>
      <c r="D23" s="3">
        <f t="shared" ref="D23:J26" ca="1" si="1">$C$21*100+D$21*10+$C23</f>
        <v>2019091512</v>
      </c>
      <c r="E23" s="3">
        <f t="shared" ca="1" si="1"/>
        <v>2019091522</v>
      </c>
      <c r="F23" s="3">
        <f t="shared" ca="1" si="1"/>
        <v>2019091532</v>
      </c>
      <c r="G23" s="3">
        <f t="shared" ca="1" si="1"/>
        <v>2019091542</v>
      </c>
      <c r="H23" s="3">
        <f t="shared" ca="1" si="1"/>
        <v>2019091552</v>
      </c>
      <c r="I23" s="3">
        <f t="shared" ca="1" si="1"/>
        <v>2019091562</v>
      </c>
      <c r="J23" s="3">
        <f t="shared" ca="1" si="1"/>
        <v>2019091572</v>
      </c>
    </row>
    <row r="24" spans="3:10" hidden="1" x14ac:dyDescent="0.7">
      <c r="C24" s="3">
        <v>3</v>
      </c>
      <c r="D24" s="3">
        <f t="shared" ca="1" si="1"/>
        <v>2019091513</v>
      </c>
      <c r="E24" s="3">
        <f t="shared" ca="1" si="1"/>
        <v>2019091523</v>
      </c>
      <c r="F24" s="3">
        <f t="shared" ca="1" si="1"/>
        <v>2019091533</v>
      </c>
      <c r="G24" s="3">
        <f t="shared" ca="1" si="1"/>
        <v>2019091543</v>
      </c>
      <c r="H24" s="3">
        <f t="shared" ca="1" si="1"/>
        <v>2019091553</v>
      </c>
      <c r="I24" s="3">
        <f t="shared" ca="1" si="1"/>
        <v>2019091563</v>
      </c>
      <c r="J24" s="3">
        <f t="shared" ca="1" si="1"/>
        <v>2019091573</v>
      </c>
    </row>
    <row r="25" spans="3:10" hidden="1" x14ac:dyDescent="0.7">
      <c r="C25" s="3">
        <v>4</v>
      </c>
      <c r="D25" s="3">
        <f t="shared" ca="1" si="1"/>
        <v>2019091514</v>
      </c>
      <c r="E25" s="3">
        <f t="shared" ca="1" si="1"/>
        <v>2019091524</v>
      </c>
      <c r="F25" s="3">
        <f t="shared" ca="1" si="1"/>
        <v>2019091534</v>
      </c>
      <c r="G25" s="3">
        <f t="shared" ca="1" si="1"/>
        <v>2019091544</v>
      </c>
      <c r="H25" s="3">
        <f t="shared" ca="1" si="1"/>
        <v>2019091554</v>
      </c>
      <c r="I25" s="3">
        <f t="shared" ca="1" si="1"/>
        <v>2019091564</v>
      </c>
      <c r="J25" s="3">
        <f t="shared" ca="1" si="1"/>
        <v>2019091574</v>
      </c>
    </row>
    <row r="26" spans="3:10" hidden="1" x14ac:dyDescent="0.7">
      <c r="C26" s="3">
        <v>5</v>
      </c>
      <c r="D26" s="3">
        <f t="shared" ca="1" si="1"/>
        <v>2019091515</v>
      </c>
      <c r="E26" s="3">
        <f t="shared" ca="1" si="1"/>
        <v>2019091525</v>
      </c>
      <c r="F26" s="3">
        <f t="shared" ca="1" si="1"/>
        <v>2019091535</v>
      </c>
      <c r="G26" s="3">
        <f t="shared" ca="1" si="1"/>
        <v>2019091545</v>
      </c>
      <c r="H26" s="3">
        <f t="shared" ca="1" si="1"/>
        <v>2019091555</v>
      </c>
      <c r="I26" s="3">
        <f t="shared" ca="1" si="1"/>
        <v>2019091565</v>
      </c>
      <c r="J26" s="3">
        <f t="shared" ca="1" si="1"/>
        <v>2019091575</v>
      </c>
    </row>
  </sheetData>
  <mergeCells count="3">
    <mergeCell ref="A5:A7"/>
    <mergeCell ref="K4:L5"/>
    <mergeCell ref="M4:N5"/>
  </mergeCells>
  <phoneticPr fontId="1"/>
  <pageMargins left="0.25" right="0.25"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B1:B3"/>
  <sheetViews>
    <sheetView zoomScaleNormal="100" workbookViewId="0">
      <selection activeCell="E2" sqref="E2"/>
    </sheetView>
  </sheetViews>
  <sheetFormatPr defaultRowHeight="17.649999999999999" x14ac:dyDescent="0.7"/>
  <cols>
    <col min="2" max="2" width="40.6875" customWidth="1"/>
  </cols>
  <sheetData>
    <row r="1" spans="2:2" ht="181.05" customHeight="1" x14ac:dyDescent="0.7">
      <c r="B1" s="12"/>
    </row>
    <row r="2" spans="2:2" ht="157.15" customHeight="1" x14ac:dyDescent="0.7"/>
    <row r="3" spans="2:2" ht="157.15" customHeight="1" x14ac:dyDescent="0.7"/>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9"/>
  <sheetViews>
    <sheetView workbookViewId="0">
      <selection activeCell="E4" sqref="E4"/>
    </sheetView>
  </sheetViews>
  <sheetFormatPr defaultRowHeight="17.649999999999999" x14ac:dyDescent="0.7"/>
  <cols>
    <col min="4" max="4" width="13.25" customWidth="1"/>
    <col min="5" max="5" width="57.0625" customWidth="1"/>
  </cols>
  <sheetData>
    <row r="1" spans="1:7" x14ac:dyDescent="0.7">
      <c r="A1" t="s">
        <v>151</v>
      </c>
      <c r="B1" t="s">
        <v>152</v>
      </c>
      <c r="C1" t="s">
        <v>153</v>
      </c>
      <c r="D1" t="s">
        <v>154</v>
      </c>
      <c r="E1" t="s">
        <v>155</v>
      </c>
      <c r="F1" t="s">
        <v>156</v>
      </c>
    </row>
    <row r="2" spans="1:7" x14ac:dyDescent="0.7">
      <c r="A2">
        <v>1</v>
      </c>
      <c r="B2" t="s">
        <v>157</v>
      </c>
      <c r="C2" t="s">
        <v>158</v>
      </c>
      <c r="D2" t="s">
        <v>159</v>
      </c>
      <c r="F2" t="s">
        <v>168</v>
      </c>
    </row>
    <row r="3" spans="1:7" x14ac:dyDescent="0.7">
      <c r="A3">
        <v>2</v>
      </c>
      <c r="B3" t="s">
        <v>161</v>
      </c>
      <c r="C3" t="s">
        <v>162</v>
      </c>
      <c r="D3" t="s">
        <v>166</v>
      </c>
      <c r="F3" t="s">
        <v>167</v>
      </c>
    </row>
    <row r="4" spans="1:7" x14ac:dyDescent="0.7">
      <c r="A4">
        <v>3</v>
      </c>
      <c r="B4" t="s">
        <v>165</v>
      </c>
      <c r="C4" t="s">
        <v>158</v>
      </c>
      <c r="D4" t="s">
        <v>164</v>
      </c>
      <c r="F4" t="s">
        <v>163</v>
      </c>
    </row>
    <row r="9" spans="1:7" x14ac:dyDescent="0.7">
      <c r="G9" t="s">
        <v>160</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profile_update">
                <anchor moveWithCells="1" sizeWithCells="1">
                  <from>
                    <xdr:col>7</xdr:col>
                    <xdr:colOff>242888</xdr:colOff>
                    <xdr:row>3</xdr:row>
                    <xdr:rowOff>14288</xdr:rowOff>
                  </from>
                  <to>
                    <xdr:col>9</xdr:col>
                    <xdr:colOff>552450</xdr:colOff>
                    <xdr:row>5</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50"/>
  <sheetViews>
    <sheetView workbookViewId="0">
      <pane ySplit="1" topLeftCell="A2" activePane="bottomLeft" state="frozen"/>
      <selection pane="bottomLeft" activeCell="A51" sqref="A51"/>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5" x14ac:dyDescent="0.7">
      <c r="A1" t="s">
        <v>0</v>
      </c>
      <c r="B1" t="s">
        <v>1</v>
      </c>
      <c r="C1" t="s">
        <v>12</v>
      </c>
      <c r="D1" t="s">
        <v>22</v>
      </c>
      <c r="E1" t="s">
        <v>11</v>
      </c>
      <c r="F1" s="2" t="s">
        <v>2</v>
      </c>
      <c r="G1" s="2" t="s">
        <v>3</v>
      </c>
      <c r="H1" s="2" t="s">
        <v>21</v>
      </c>
      <c r="I1" s="2" t="s">
        <v>4</v>
      </c>
      <c r="J1" s="2" t="s">
        <v>5</v>
      </c>
      <c r="K1" s="2" t="s">
        <v>6</v>
      </c>
      <c r="L1" s="2" t="s">
        <v>7</v>
      </c>
      <c r="M1" s="2" t="s">
        <v>8</v>
      </c>
      <c r="N1" s="2" t="s">
        <v>9</v>
      </c>
      <c r="O1" s="2" t="s">
        <v>10</v>
      </c>
    </row>
    <row r="2" spans="1:15" x14ac:dyDescent="0.7">
      <c r="A2">
        <v>20190714</v>
      </c>
      <c r="B2">
        <v>2</v>
      </c>
      <c r="C2">
        <v>2</v>
      </c>
      <c r="D2">
        <v>2019071422</v>
      </c>
      <c r="E2">
        <v>0</v>
      </c>
      <c r="F2" s="2">
        <v>192508005</v>
      </c>
      <c r="G2" s="2">
        <v>192508004</v>
      </c>
    </row>
    <row r="3" spans="1:15" x14ac:dyDescent="0.7">
      <c r="A3">
        <v>20190715</v>
      </c>
      <c r="B3">
        <v>2</v>
      </c>
      <c r="C3">
        <v>1</v>
      </c>
      <c r="D3">
        <v>2019071521</v>
      </c>
      <c r="E3">
        <v>0</v>
      </c>
      <c r="F3" s="2">
        <v>182505003</v>
      </c>
    </row>
    <row r="4" spans="1:15" x14ac:dyDescent="0.7">
      <c r="A4">
        <v>20190715</v>
      </c>
      <c r="B4">
        <v>2</v>
      </c>
      <c r="C4">
        <v>4</v>
      </c>
      <c r="D4">
        <v>2019071524</v>
      </c>
      <c r="E4">
        <v>0</v>
      </c>
      <c r="F4" s="2">
        <v>182514002</v>
      </c>
    </row>
    <row r="5" spans="1:15" x14ac:dyDescent="0.7">
      <c r="A5">
        <v>20190715</v>
      </c>
      <c r="B5">
        <v>2</v>
      </c>
      <c r="C5">
        <v>3</v>
      </c>
      <c r="D5">
        <v>2019071525</v>
      </c>
      <c r="E5">
        <v>0</v>
      </c>
      <c r="F5" s="2">
        <v>172502005</v>
      </c>
    </row>
    <row r="6" spans="1:15" x14ac:dyDescent="0.7">
      <c r="A6">
        <v>20190715</v>
      </c>
      <c r="B6">
        <v>3</v>
      </c>
      <c r="C6">
        <v>3</v>
      </c>
      <c r="D6">
        <v>2019071533</v>
      </c>
      <c r="E6">
        <v>0</v>
      </c>
      <c r="F6" s="2">
        <v>192505003</v>
      </c>
    </row>
    <row r="7" spans="1:15" x14ac:dyDescent="0.7">
      <c r="A7">
        <v>20190715</v>
      </c>
      <c r="B7">
        <v>3</v>
      </c>
      <c r="C7">
        <v>5</v>
      </c>
      <c r="D7">
        <v>2019071535</v>
      </c>
      <c r="E7">
        <v>0</v>
      </c>
      <c r="F7" s="2">
        <v>172502005</v>
      </c>
    </row>
    <row r="8" spans="1:15" x14ac:dyDescent="0.7">
      <c r="A8">
        <v>20190715</v>
      </c>
      <c r="B8">
        <v>4</v>
      </c>
      <c r="C8">
        <v>3</v>
      </c>
      <c r="D8">
        <v>2019071543</v>
      </c>
      <c r="E8">
        <v>0</v>
      </c>
      <c r="F8" s="2">
        <v>192505003</v>
      </c>
    </row>
    <row r="9" spans="1:15" x14ac:dyDescent="0.7">
      <c r="A9">
        <v>20190715</v>
      </c>
      <c r="B9">
        <v>4</v>
      </c>
      <c r="C9">
        <v>4</v>
      </c>
      <c r="D9">
        <v>2019071544</v>
      </c>
      <c r="E9">
        <v>0</v>
      </c>
      <c r="F9" s="2">
        <v>192503008</v>
      </c>
    </row>
    <row r="10" spans="1:15" x14ac:dyDescent="0.7">
      <c r="A10">
        <v>20190715</v>
      </c>
      <c r="B10">
        <v>6</v>
      </c>
      <c r="C10">
        <v>1</v>
      </c>
      <c r="D10">
        <v>2019071561</v>
      </c>
      <c r="E10">
        <v>0</v>
      </c>
      <c r="F10" s="2">
        <v>192506002</v>
      </c>
    </row>
    <row r="11" spans="1:15" x14ac:dyDescent="0.7">
      <c r="A11">
        <v>20190715</v>
      </c>
      <c r="B11">
        <v>6</v>
      </c>
      <c r="C11">
        <v>3</v>
      </c>
      <c r="D11">
        <v>2019071563</v>
      </c>
      <c r="E11">
        <v>0</v>
      </c>
      <c r="F11" s="2">
        <v>182507003</v>
      </c>
    </row>
    <row r="12" spans="1:15" x14ac:dyDescent="0.7">
      <c r="A12">
        <v>20190715</v>
      </c>
      <c r="B12">
        <v>7</v>
      </c>
      <c r="C12">
        <v>1</v>
      </c>
      <c r="D12">
        <v>2019071571</v>
      </c>
      <c r="E12">
        <v>0</v>
      </c>
      <c r="F12" s="2">
        <v>192505003</v>
      </c>
    </row>
    <row r="13" spans="1:15" x14ac:dyDescent="0.7">
      <c r="A13">
        <v>20190716</v>
      </c>
      <c r="B13">
        <v>2</v>
      </c>
      <c r="C13">
        <v>2</v>
      </c>
      <c r="D13">
        <v>2019071622</v>
      </c>
      <c r="E13">
        <v>0</v>
      </c>
      <c r="F13" s="2">
        <v>182510012</v>
      </c>
    </row>
    <row r="14" spans="1:15" x14ac:dyDescent="0.7">
      <c r="A14">
        <v>20190716</v>
      </c>
      <c r="B14">
        <v>3</v>
      </c>
      <c r="C14">
        <v>1</v>
      </c>
      <c r="D14">
        <v>2019071631</v>
      </c>
      <c r="E14">
        <v>0</v>
      </c>
      <c r="F14" s="2">
        <v>182510012</v>
      </c>
    </row>
    <row r="15" spans="1:15" x14ac:dyDescent="0.7">
      <c r="A15">
        <v>20190716</v>
      </c>
      <c r="B15">
        <v>3</v>
      </c>
      <c r="C15">
        <v>2</v>
      </c>
      <c r="D15">
        <v>2019071632</v>
      </c>
      <c r="E15">
        <v>0</v>
      </c>
      <c r="F15" s="2">
        <v>182510012</v>
      </c>
    </row>
    <row r="16" spans="1:15"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6" x14ac:dyDescent="0.7">
      <c r="A49">
        <v>20190820</v>
      </c>
      <c r="B49">
        <v>7</v>
      </c>
      <c r="C49">
        <v>2</v>
      </c>
      <c r="D49">
        <v>2019082072</v>
      </c>
      <c r="E49">
        <v>0</v>
      </c>
      <c r="F49" s="2">
        <v>152517043</v>
      </c>
    </row>
    <row r="50" spans="1:6" x14ac:dyDescent="0.7">
      <c r="A50">
        <v>20190820</v>
      </c>
      <c r="B50">
        <v>7</v>
      </c>
      <c r="C50">
        <v>3</v>
      </c>
      <c r="D50">
        <v>2019082073</v>
      </c>
      <c r="E50">
        <v>0</v>
      </c>
      <c r="F50" s="2">
        <v>152517043</v>
      </c>
    </row>
  </sheetData>
  <sortState xmlns:xlrd2="http://schemas.microsoft.com/office/spreadsheetml/2017/richdata2" ref="A2:F50">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20190822</v>
      </c>
      <c r="B1">
        <v>20190822</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R22"/>
  <sheetViews>
    <sheetView zoomScaleNormal="100" workbookViewId="0">
      <selection activeCell="R4" sqref="R4"/>
    </sheetView>
  </sheetViews>
  <sheetFormatPr defaultColWidth="8.8125" defaultRowHeight="17.649999999999999" x14ac:dyDescent="0.7"/>
  <cols>
    <col min="1" max="1" width="10.4375" customWidth="1"/>
    <col min="3" max="3" width="12.5625" bestFit="1" customWidth="1"/>
  </cols>
  <sheetData>
    <row r="1" spans="1:18" x14ac:dyDescent="0.7">
      <c r="A1" s="11"/>
      <c r="B1" t="s">
        <v>112</v>
      </c>
      <c r="E1" t="s">
        <v>113</v>
      </c>
      <c r="H1" t="s">
        <v>114</v>
      </c>
    </row>
    <row r="2" spans="1:18" x14ac:dyDescent="0.7">
      <c r="B2" t="s">
        <v>115</v>
      </c>
      <c r="D2" t="s">
        <v>116</v>
      </c>
      <c r="E2" t="s">
        <v>115</v>
      </c>
      <c r="G2" t="s">
        <v>117</v>
      </c>
      <c r="H2" t="s">
        <v>115</v>
      </c>
      <c r="J2" t="s">
        <v>117</v>
      </c>
    </row>
    <row r="3" spans="1:18" x14ac:dyDescent="0.7">
      <c r="B3">
        <v>1</v>
      </c>
      <c r="C3" t="s">
        <v>118</v>
      </c>
      <c r="D3">
        <v>2501</v>
      </c>
      <c r="E3">
        <v>1</v>
      </c>
      <c r="F3" t="s">
        <v>118</v>
      </c>
      <c r="G3">
        <v>2001</v>
      </c>
      <c r="H3" s="12">
        <v>1</v>
      </c>
      <c r="I3" t="s">
        <v>118</v>
      </c>
      <c r="J3" s="12">
        <v>2011</v>
      </c>
      <c r="P3" t="s">
        <v>144</v>
      </c>
    </row>
    <row r="4" spans="1:18" x14ac:dyDescent="0.7">
      <c r="B4">
        <v>2</v>
      </c>
      <c r="C4" t="s">
        <v>119</v>
      </c>
      <c r="D4">
        <v>2502</v>
      </c>
      <c r="E4">
        <v>2</v>
      </c>
      <c r="F4" t="s">
        <v>119</v>
      </c>
      <c r="G4">
        <v>2002</v>
      </c>
      <c r="H4" s="12">
        <v>2</v>
      </c>
      <c r="I4" t="s">
        <v>120</v>
      </c>
      <c r="J4" s="12">
        <v>2012</v>
      </c>
      <c r="P4" t="s">
        <v>145</v>
      </c>
      <c r="Q4">
        <f>23+5+20*7</f>
        <v>168</v>
      </c>
      <c r="R4">
        <f>5.5+4.2+18*7+5.2+22*2</f>
        <v>184.89999999999998</v>
      </c>
    </row>
    <row r="5" spans="1:18" x14ac:dyDescent="0.7">
      <c r="B5">
        <v>3</v>
      </c>
      <c r="C5" t="s">
        <v>121</v>
      </c>
      <c r="D5">
        <v>2503</v>
      </c>
      <c r="E5">
        <v>3</v>
      </c>
      <c r="F5" t="s">
        <v>121</v>
      </c>
      <c r="G5">
        <v>2003</v>
      </c>
      <c r="H5" s="12">
        <v>2</v>
      </c>
      <c r="I5" t="s">
        <v>122</v>
      </c>
      <c r="J5" s="12">
        <v>2013</v>
      </c>
      <c r="P5" t="s">
        <v>146</v>
      </c>
      <c r="Q5">
        <f>50+50+30+115*5</f>
        <v>705</v>
      </c>
    </row>
    <row r="6" spans="1:18" x14ac:dyDescent="0.7">
      <c r="B6">
        <v>4</v>
      </c>
      <c r="C6" t="s">
        <v>123</v>
      </c>
      <c r="D6">
        <v>2504</v>
      </c>
      <c r="E6">
        <v>4</v>
      </c>
      <c r="F6" t="s">
        <v>123</v>
      </c>
      <c r="G6">
        <v>2004</v>
      </c>
      <c r="H6" s="12">
        <v>3</v>
      </c>
      <c r="I6" t="s">
        <v>121</v>
      </c>
      <c r="J6" s="12">
        <v>2014</v>
      </c>
    </row>
    <row r="7" spans="1:18" x14ac:dyDescent="0.7">
      <c r="B7">
        <v>5</v>
      </c>
      <c r="C7" t="s">
        <v>124</v>
      </c>
      <c r="D7">
        <v>2505</v>
      </c>
      <c r="E7">
        <v>5</v>
      </c>
      <c r="F7" t="s">
        <v>124</v>
      </c>
      <c r="G7">
        <v>2005</v>
      </c>
      <c r="H7" s="12">
        <v>4</v>
      </c>
      <c r="I7" t="s">
        <v>123</v>
      </c>
      <c r="J7" s="12">
        <v>2015</v>
      </c>
    </row>
    <row r="8" spans="1:18" x14ac:dyDescent="0.7">
      <c r="B8">
        <v>6</v>
      </c>
      <c r="C8" t="s">
        <v>125</v>
      </c>
      <c r="D8">
        <v>2506</v>
      </c>
      <c r="E8">
        <v>6</v>
      </c>
      <c r="F8" t="s">
        <v>125</v>
      </c>
      <c r="G8">
        <v>2006</v>
      </c>
      <c r="H8" s="12">
        <v>5</v>
      </c>
      <c r="I8" t="s">
        <v>124</v>
      </c>
      <c r="J8" s="12">
        <v>2016</v>
      </c>
    </row>
    <row r="9" spans="1:18" x14ac:dyDescent="0.7">
      <c r="B9">
        <v>7</v>
      </c>
      <c r="C9" t="s">
        <v>126</v>
      </c>
      <c r="D9">
        <v>2507</v>
      </c>
      <c r="E9">
        <v>7</v>
      </c>
      <c r="F9" t="s">
        <v>126</v>
      </c>
      <c r="G9">
        <v>2007</v>
      </c>
      <c r="H9" s="12">
        <v>6</v>
      </c>
      <c r="I9" t="s">
        <v>125</v>
      </c>
      <c r="J9" s="12">
        <v>2017</v>
      </c>
    </row>
    <row r="10" spans="1:18" x14ac:dyDescent="0.7">
      <c r="B10">
        <v>8</v>
      </c>
      <c r="C10" t="s">
        <v>127</v>
      </c>
      <c r="D10">
        <v>2508</v>
      </c>
      <c r="E10">
        <v>8</v>
      </c>
      <c r="F10" t="s">
        <v>127</v>
      </c>
      <c r="G10">
        <v>2008</v>
      </c>
      <c r="H10" s="12">
        <v>7</v>
      </c>
      <c r="I10" t="s">
        <v>126</v>
      </c>
      <c r="J10" s="12">
        <v>2018</v>
      </c>
    </row>
    <row r="11" spans="1:18" x14ac:dyDescent="0.7">
      <c r="B11">
        <v>9</v>
      </c>
      <c r="C11" t="s">
        <v>128</v>
      </c>
      <c r="D11">
        <v>2509</v>
      </c>
      <c r="E11" s="12">
        <v>9</v>
      </c>
      <c r="F11" t="s">
        <v>129</v>
      </c>
      <c r="G11" s="12">
        <v>2009</v>
      </c>
      <c r="H11" s="12">
        <v>8</v>
      </c>
      <c r="I11" t="s">
        <v>127</v>
      </c>
      <c r="J11" s="12">
        <v>2019</v>
      </c>
    </row>
    <row r="12" spans="1:18" x14ac:dyDescent="0.7">
      <c r="B12">
        <v>10</v>
      </c>
      <c r="C12" t="s">
        <v>129</v>
      </c>
      <c r="D12" s="12">
        <v>2510</v>
      </c>
      <c r="H12" s="13">
        <v>9</v>
      </c>
      <c r="I12" t="s">
        <v>129</v>
      </c>
      <c r="J12" s="13">
        <v>2020</v>
      </c>
    </row>
    <row r="13" spans="1:18" x14ac:dyDescent="0.7">
      <c r="B13">
        <v>11</v>
      </c>
      <c r="C13" t="s">
        <v>130</v>
      </c>
      <c r="D13" s="13">
        <v>2521</v>
      </c>
      <c r="E13" s="12">
        <v>51</v>
      </c>
      <c r="F13" s="12" t="s">
        <v>131</v>
      </c>
      <c r="G13" s="13">
        <v>2101</v>
      </c>
      <c r="H13" s="12">
        <v>51</v>
      </c>
      <c r="I13" t="s">
        <v>131</v>
      </c>
      <c r="J13" s="13">
        <v>2111</v>
      </c>
    </row>
    <row r="14" spans="1:18" x14ac:dyDescent="0.7">
      <c r="B14">
        <v>51</v>
      </c>
      <c r="C14" t="s">
        <v>132</v>
      </c>
      <c r="D14" s="13">
        <v>2511</v>
      </c>
      <c r="E14">
        <v>61</v>
      </c>
      <c r="F14" t="s">
        <v>133</v>
      </c>
      <c r="G14">
        <v>2201</v>
      </c>
      <c r="H14" s="13">
        <v>61</v>
      </c>
      <c r="I14" t="s">
        <v>133</v>
      </c>
      <c r="J14" s="13">
        <v>2211</v>
      </c>
    </row>
    <row r="15" spans="1:18" x14ac:dyDescent="0.7">
      <c r="B15">
        <v>52</v>
      </c>
      <c r="C15" t="s">
        <v>134</v>
      </c>
      <c r="D15">
        <v>2512</v>
      </c>
      <c r="E15">
        <v>62</v>
      </c>
      <c r="F15" t="s">
        <v>135</v>
      </c>
      <c r="G15">
        <v>2202</v>
      </c>
      <c r="H15" s="13">
        <v>62</v>
      </c>
      <c r="I15" t="s">
        <v>135</v>
      </c>
      <c r="J15" s="13">
        <v>2212</v>
      </c>
    </row>
    <row r="16" spans="1:18" x14ac:dyDescent="0.7">
      <c r="B16">
        <v>53</v>
      </c>
      <c r="C16" t="s">
        <v>136</v>
      </c>
      <c r="D16">
        <v>2513</v>
      </c>
    </row>
    <row r="17" spans="2:10" x14ac:dyDescent="0.7">
      <c r="B17">
        <v>54</v>
      </c>
      <c r="C17" t="s">
        <v>137</v>
      </c>
      <c r="D17">
        <v>2514</v>
      </c>
      <c r="F17" t="s">
        <v>138</v>
      </c>
      <c r="G17">
        <v>2099</v>
      </c>
      <c r="I17" t="s">
        <v>138</v>
      </c>
      <c r="J17" s="12">
        <v>2099</v>
      </c>
    </row>
    <row r="18" spans="2:10" x14ac:dyDescent="0.7">
      <c r="B18">
        <v>55</v>
      </c>
      <c r="C18" t="s">
        <v>139</v>
      </c>
      <c r="D18">
        <v>2515</v>
      </c>
    </row>
    <row r="19" spans="2:10" x14ac:dyDescent="0.7">
      <c r="B19">
        <v>56</v>
      </c>
      <c r="C19" t="s">
        <v>140</v>
      </c>
      <c r="D19">
        <v>2516</v>
      </c>
    </row>
    <row r="20" spans="2:10" x14ac:dyDescent="0.7">
      <c r="B20">
        <v>57</v>
      </c>
      <c r="C20" t="s">
        <v>141</v>
      </c>
      <c r="D20">
        <v>2517</v>
      </c>
      <c r="F20" t="s">
        <v>142</v>
      </c>
    </row>
    <row r="21" spans="2:10" x14ac:dyDescent="0.7">
      <c r="F21" t="s">
        <v>143</v>
      </c>
    </row>
    <row r="22" spans="2:10" x14ac:dyDescent="0.7">
      <c r="C22" t="s">
        <v>138</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C22"/>
  <sheetViews>
    <sheetView workbookViewId="0">
      <selection activeCell="C23" sqref="C23"/>
    </sheetView>
  </sheetViews>
  <sheetFormatPr defaultRowHeight="17.649999999999999" x14ac:dyDescent="0.7"/>
  <cols>
    <col min="1" max="1" width="20.125" customWidth="1"/>
    <col min="2" max="2" width="17.4375" customWidth="1"/>
    <col min="3" max="3" width="14.25" customWidth="1"/>
  </cols>
  <sheetData>
    <row r="1" spans="1:3" x14ac:dyDescent="0.7">
      <c r="A1" s="19" t="s">
        <v>169</v>
      </c>
      <c r="B1" t="s">
        <v>170</v>
      </c>
      <c r="C1" t="s">
        <v>171</v>
      </c>
    </row>
    <row r="2" spans="1:3" x14ac:dyDescent="0.7">
      <c r="A2" s="21">
        <v>43710.625</v>
      </c>
      <c r="B2" s="21">
        <v>43710.666666666664</v>
      </c>
      <c r="C2" s="3">
        <v>11</v>
      </c>
    </row>
    <row r="3" spans="1:3" x14ac:dyDescent="0.7">
      <c r="A3" s="21">
        <v>43710.666666666664</v>
      </c>
      <c r="B3" s="21">
        <v>43710.708333333336</v>
      </c>
      <c r="C3" s="3">
        <v>6</v>
      </c>
    </row>
    <row r="4" spans="1:3" x14ac:dyDescent="0.7">
      <c r="A4" s="21">
        <v>43711.5</v>
      </c>
      <c r="B4" s="21">
        <v>43711.541666666664</v>
      </c>
      <c r="C4" s="3">
        <v>6</v>
      </c>
    </row>
    <row r="5" spans="1:3" x14ac:dyDescent="0.7">
      <c r="A5" s="21">
        <v>43711.541666666664</v>
      </c>
      <c r="B5" s="21">
        <v>43711.583333333336</v>
      </c>
      <c r="C5" s="3">
        <v>10</v>
      </c>
    </row>
    <row r="6" spans="1:3" x14ac:dyDescent="0.7">
      <c r="A6" s="21">
        <v>43712.583333333336</v>
      </c>
      <c r="B6" s="21">
        <v>43712.625</v>
      </c>
      <c r="C6" s="3">
        <v>3</v>
      </c>
    </row>
    <row r="7" spans="1:3" x14ac:dyDescent="0.7">
      <c r="A7" s="21">
        <v>43712.625</v>
      </c>
      <c r="B7" s="21">
        <v>43712.708333333336</v>
      </c>
      <c r="C7" s="3">
        <v>11</v>
      </c>
    </row>
    <row r="8" spans="1:3" x14ac:dyDescent="0.7">
      <c r="A8" s="6">
        <v>43713.5</v>
      </c>
      <c r="B8" s="21">
        <v>43713.541666666664</v>
      </c>
      <c r="C8" s="3">
        <v>6</v>
      </c>
    </row>
    <row r="9" spans="1:3" x14ac:dyDescent="0.7">
      <c r="A9" s="6">
        <v>43713.541666666664</v>
      </c>
      <c r="B9" s="21">
        <v>43713.583333333336</v>
      </c>
      <c r="C9" s="3">
        <v>3</v>
      </c>
    </row>
    <row r="10" spans="1:3" x14ac:dyDescent="0.7">
      <c r="A10" s="6">
        <v>43714.541666666664</v>
      </c>
      <c r="B10" s="21">
        <v>43714.583333333336</v>
      </c>
      <c r="C10" s="3">
        <v>11</v>
      </c>
    </row>
    <row r="11" spans="1:3" x14ac:dyDescent="0.7">
      <c r="A11" s="6">
        <v>43714.583333333336</v>
      </c>
      <c r="B11" s="21">
        <v>43714.625</v>
      </c>
      <c r="C11" s="3">
        <v>8</v>
      </c>
    </row>
    <row r="12" spans="1:3" x14ac:dyDescent="0.7">
      <c r="A12" s="6">
        <v>43717.5</v>
      </c>
      <c r="B12" s="21">
        <v>43717.541666666664</v>
      </c>
      <c r="C12" s="3">
        <v>9</v>
      </c>
    </row>
    <row r="13" spans="1:3" x14ac:dyDescent="0.7">
      <c r="A13" s="6">
        <v>43717.541666666664</v>
      </c>
      <c r="B13" s="21">
        <v>43717.583333333336</v>
      </c>
      <c r="C13" s="3">
        <v>12</v>
      </c>
    </row>
    <row r="14" spans="1:3" x14ac:dyDescent="0.7">
      <c r="A14" s="6">
        <v>43718.5</v>
      </c>
      <c r="B14" s="21">
        <v>43718.541666666664</v>
      </c>
      <c r="C14" s="3">
        <v>1</v>
      </c>
    </row>
    <row r="15" spans="1:3" x14ac:dyDescent="0.7">
      <c r="A15" s="6">
        <v>43718.541666666664</v>
      </c>
      <c r="B15" s="21">
        <v>43718.583333333336</v>
      </c>
      <c r="C15" s="3">
        <v>6</v>
      </c>
    </row>
    <row r="16" spans="1:3" x14ac:dyDescent="0.7">
      <c r="A16" s="6">
        <v>43719.583333333336</v>
      </c>
      <c r="B16" s="21">
        <v>43719.625</v>
      </c>
      <c r="C16" s="3">
        <v>4</v>
      </c>
    </row>
    <row r="17" spans="1:3" x14ac:dyDescent="0.7">
      <c r="A17" s="6">
        <v>43720.625</v>
      </c>
      <c r="B17" s="21">
        <v>43720.666666666664</v>
      </c>
      <c r="C17" s="3">
        <v>7</v>
      </c>
    </row>
    <row r="18" spans="1:3" x14ac:dyDescent="0.7">
      <c r="A18" s="6">
        <v>43721.666666666664</v>
      </c>
      <c r="B18" s="21">
        <v>43721.708333333336</v>
      </c>
      <c r="C18" s="3">
        <v>10</v>
      </c>
    </row>
    <row r="19" spans="1:3" x14ac:dyDescent="0.7">
      <c r="A19" s="6">
        <v>43723.541666666664</v>
      </c>
      <c r="B19" s="6">
        <v>43723.791666666664</v>
      </c>
      <c r="C19" s="3">
        <v>3</v>
      </c>
    </row>
    <row r="20" spans="1:3" x14ac:dyDescent="0.7">
      <c r="A20" s="6">
        <v>43723.75</v>
      </c>
      <c r="B20" s="6">
        <v>43723.833333333336</v>
      </c>
      <c r="C20" s="3">
        <v>4</v>
      </c>
    </row>
    <row r="21" spans="1:3" x14ac:dyDescent="0.7">
      <c r="A21" s="6">
        <v>43723.875</v>
      </c>
      <c r="B21" s="6">
        <v>43723.916666666664</v>
      </c>
      <c r="C21" s="3">
        <v>5</v>
      </c>
    </row>
    <row r="22" spans="1:3" x14ac:dyDescent="0.7">
      <c r="A22" s="6">
        <v>43724.541666666664</v>
      </c>
      <c r="B22" s="6">
        <v>43724.791666666664</v>
      </c>
      <c r="C22" s="3">
        <v>6</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moveWithCells="1" sizeWithCells="1">
                  <from>
                    <xdr:col>5</xdr:col>
                    <xdr:colOff>647700</xdr:colOff>
                    <xdr:row>0</xdr:row>
                    <xdr:rowOff>114300</xdr:rowOff>
                  </from>
                  <to>
                    <xdr:col>8</xdr:col>
                    <xdr:colOff>76200</xdr:colOff>
                    <xdr:row>1</xdr:row>
                    <xdr:rowOff>204788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7.649999999999999" x14ac:dyDescent="0.7"/>
  <cols>
    <col min="1" max="1" width="10.5" bestFit="1" customWidth="1"/>
    <col min="2" max="2" width="10.5625" customWidth="1"/>
    <col min="4" max="4" width="11.25" customWidth="1"/>
  </cols>
  <sheetData>
    <row r="1" spans="1:5" x14ac:dyDescent="0.7">
      <c r="A1" s="8">
        <v>43637</v>
      </c>
      <c r="B1" t="s">
        <v>32</v>
      </c>
      <c r="C1" t="s">
        <v>33</v>
      </c>
      <c r="D1" t="s">
        <v>34</v>
      </c>
    </row>
    <row r="2" spans="1:5" x14ac:dyDescent="0.7">
      <c r="D2" t="s">
        <v>35</v>
      </c>
    </row>
    <row r="3" spans="1:5" x14ac:dyDescent="0.7">
      <c r="D3" t="s">
        <v>36</v>
      </c>
    </row>
    <row r="4" spans="1:5" x14ac:dyDescent="0.7">
      <c r="D4" t="s">
        <v>37</v>
      </c>
    </row>
    <row r="5" spans="1:5" x14ac:dyDescent="0.7">
      <c r="D5" s="9" t="s">
        <v>38</v>
      </c>
    </row>
    <row r="6" spans="1:5" x14ac:dyDescent="0.7">
      <c r="D6" t="s">
        <v>39</v>
      </c>
    </row>
    <row r="7" spans="1:5" x14ac:dyDescent="0.7">
      <c r="A7" s="8">
        <v>43640</v>
      </c>
      <c r="B7" t="s">
        <v>40</v>
      </c>
      <c r="C7" t="s">
        <v>33</v>
      </c>
      <c r="D7" t="s">
        <v>41</v>
      </c>
      <c r="E7" t="s">
        <v>42</v>
      </c>
    </row>
    <row r="8" spans="1:5" x14ac:dyDescent="0.7">
      <c r="A8" s="8"/>
      <c r="E8" t="s">
        <v>43</v>
      </c>
    </row>
    <row r="9" spans="1:5" x14ac:dyDescent="0.7">
      <c r="A9" s="8"/>
      <c r="D9" t="s">
        <v>44</v>
      </c>
      <c r="E9" t="s">
        <v>45</v>
      </c>
    </row>
    <row r="10" spans="1:5" x14ac:dyDescent="0.7">
      <c r="A10" s="8"/>
      <c r="D10" t="s">
        <v>30</v>
      </c>
      <c r="E10" t="s">
        <v>46</v>
      </c>
    </row>
    <row r="11" spans="1:5" x14ac:dyDescent="0.7">
      <c r="A11" s="8"/>
      <c r="E11" t="s">
        <v>47</v>
      </c>
    </row>
    <row r="12" spans="1:5" x14ac:dyDescent="0.7">
      <c r="A12" s="8"/>
      <c r="D12" t="s">
        <v>44</v>
      </c>
      <c r="E12" t="s">
        <v>48</v>
      </c>
    </row>
    <row r="13" spans="1:5" x14ac:dyDescent="0.7">
      <c r="A13" s="8"/>
      <c r="D13" t="s">
        <v>49</v>
      </c>
      <c r="E13" t="s">
        <v>50</v>
      </c>
    </row>
    <row r="14" spans="1:5" x14ac:dyDescent="0.7">
      <c r="A14" s="8"/>
      <c r="E14" t="s">
        <v>51</v>
      </c>
    </row>
    <row r="15" spans="1:5" x14ac:dyDescent="0.7">
      <c r="A15" s="8"/>
      <c r="D15" t="s">
        <v>52</v>
      </c>
      <c r="E15" t="s">
        <v>53</v>
      </c>
    </row>
    <row r="16" spans="1:5" x14ac:dyDescent="0.7">
      <c r="A16" s="8"/>
      <c r="E16" t="s">
        <v>54</v>
      </c>
    </row>
    <row r="17" spans="1:5" x14ac:dyDescent="0.7">
      <c r="A17" s="8">
        <v>43641</v>
      </c>
      <c r="B17" t="s">
        <v>55</v>
      </c>
      <c r="C17" t="s">
        <v>33</v>
      </c>
      <c r="D17" t="s">
        <v>41</v>
      </c>
      <c r="E17" t="s">
        <v>56</v>
      </c>
    </row>
    <row r="18" spans="1:5" x14ac:dyDescent="0.7">
      <c r="A18" s="10">
        <v>43644</v>
      </c>
      <c r="B18" t="s">
        <v>57</v>
      </c>
      <c r="C18" t="s">
        <v>33</v>
      </c>
      <c r="D18" t="s">
        <v>41</v>
      </c>
      <c r="E18" t="s">
        <v>58</v>
      </c>
    </row>
    <row r="19" spans="1:5" x14ac:dyDescent="0.7">
      <c r="D19" t="s">
        <v>30</v>
      </c>
      <c r="E19" t="s">
        <v>59</v>
      </c>
    </row>
    <row r="20" spans="1:5" x14ac:dyDescent="0.7">
      <c r="A20" s="10">
        <v>43651</v>
      </c>
      <c r="B20" t="s">
        <v>60</v>
      </c>
      <c r="C20" t="s">
        <v>33</v>
      </c>
      <c r="D20" t="s">
        <v>41</v>
      </c>
      <c r="E20" t="s">
        <v>61</v>
      </c>
    </row>
    <row r="21" spans="1:5" x14ac:dyDescent="0.7">
      <c r="D21" t="s">
        <v>30</v>
      </c>
      <c r="E21" t="s">
        <v>62</v>
      </c>
    </row>
    <row r="22" spans="1:5" x14ac:dyDescent="0.7">
      <c r="D22" t="s">
        <v>63</v>
      </c>
      <c r="E22" t="s">
        <v>64</v>
      </c>
    </row>
    <row r="23" spans="1:5" x14ac:dyDescent="0.7">
      <c r="A23" s="10">
        <v>43658</v>
      </c>
      <c r="B23" t="s">
        <v>65</v>
      </c>
      <c r="C23" t="s">
        <v>33</v>
      </c>
      <c r="D23" t="s">
        <v>41</v>
      </c>
      <c r="E23" t="s">
        <v>66</v>
      </c>
    </row>
    <row r="24" spans="1:5" x14ac:dyDescent="0.7">
      <c r="D24" t="s">
        <v>30</v>
      </c>
      <c r="E24" t="s">
        <v>67</v>
      </c>
    </row>
    <row r="25" spans="1:5" x14ac:dyDescent="0.7">
      <c r="D25" t="s">
        <v>63</v>
      </c>
      <c r="E25" t="s">
        <v>68</v>
      </c>
    </row>
    <row r="26" spans="1:5" x14ac:dyDescent="0.7">
      <c r="D26" t="s">
        <v>52</v>
      </c>
      <c r="E26" t="s">
        <v>69</v>
      </c>
    </row>
    <row r="27" spans="1:5" x14ac:dyDescent="0.7">
      <c r="D27" t="s">
        <v>70</v>
      </c>
      <c r="E27" t="s">
        <v>71</v>
      </c>
    </row>
    <row r="28" spans="1:5" x14ac:dyDescent="0.7">
      <c r="D28" t="s">
        <v>72</v>
      </c>
      <c r="E28" t="s">
        <v>73</v>
      </c>
    </row>
    <row r="29" spans="1:5" x14ac:dyDescent="0.7">
      <c r="E29" t="s">
        <v>74</v>
      </c>
    </row>
    <row r="30" spans="1:5" x14ac:dyDescent="0.7">
      <c r="E30" t="s">
        <v>75</v>
      </c>
    </row>
    <row r="31" spans="1:5" x14ac:dyDescent="0.7">
      <c r="D31" t="s">
        <v>76</v>
      </c>
      <c r="E31" t="s">
        <v>77</v>
      </c>
    </row>
    <row r="32" spans="1:5" x14ac:dyDescent="0.7">
      <c r="D32" t="s">
        <v>78</v>
      </c>
      <c r="E32" t="s">
        <v>79</v>
      </c>
    </row>
    <row r="33" spans="2:5" x14ac:dyDescent="0.7">
      <c r="D33" t="s">
        <v>80</v>
      </c>
      <c r="E33" t="s">
        <v>81</v>
      </c>
    </row>
    <row r="34" spans="2:5" x14ac:dyDescent="0.7">
      <c r="D34" t="s">
        <v>82</v>
      </c>
      <c r="E34" t="s">
        <v>83</v>
      </c>
    </row>
    <row r="35" spans="2:5" x14ac:dyDescent="0.7">
      <c r="E35" t="s">
        <v>84</v>
      </c>
    </row>
    <row r="36" spans="2:5" x14ac:dyDescent="0.7">
      <c r="D36" t="s">
        <v>85</v>
      </c>
      <c r="E36" t="s">
        <v>86</v>
      </c>
    </row>
    <row r="37" spans="2:5" x14ac:dyDescent="0.7">
      <c r="D37" t="s">
        <v>87</v>
      </c>
      <c r="E37" t="s">
        <v>88</v>
      </c>
    </row>
    <row r="38" spans="2:5" x14ac:dyDescent="0.7">
      <c r="E38" t="s">
        <v>89</v>
      </c>
    </row>
    <row r="39" spans="2:5" x14ac:dyDescent="0.7">
      <c r="E39" t="s">
        <v>90</v>
      </c>
    </row>
    <row r="40" spans="2:5" x14ac:dyDescent="0.7">
      <c r="E40" t="s">
        <v>91</v>
      </c>
    </row>
    <row r="41" spans="2:5" x14ac:dyDescent="0.7">
      <c r="D41" t="s">
        <v>92</v>
      </c>
      <c r="E41" t="s">
        <v>93</v>
      </c>
    </row>
    <row r="42" spans="2:5" x14ac:dyDescent="0.7">
      <c r="B42">
        <v>1.0309999999999999</v>
      </c>
      <c r="C42" t="s">
        <v>33</v>
      </c>
      <c r="D42" t="s">
        <v>41</v>
      </c>
      <c r="E42" t="s">
        <v>94</v>
      </c>
    </row>
    <row r="43" spans="2:5" x14ac:dyDescent="0.7">
      <c r="D43" t="s">
        <v>30</v>
      </c>
      <c r="E43" t="s">
        <v>95</v>
      </c>
    </row>
    <row r="44" spans="2:5" x14ac:dyDescent="0.7">
      <c r="B44">
        <v>1.032</v>
      </c>
      <c r="C44" t="s">
        <v>33</v>
      </c>
      <c r="D44" t="s">
        <v>41</v>
      </c>
      <c r="E44" t="s">
        <v>96</v>
      </c>
    </row>
    <row r="45" spans="2:5" x14ac:dyDescent="0.7">
      <c r="D45" t="s">
        <v>30</v>
      </c>
      <c r="E45" t="s">
        <v>97</v>
      </c>
    </row>
    <row r="46" spans="2:5" x14ac:dyDescent="0.7">
      <c r="B46">
        <v>1.0329999999999999</v>
      </c>
      <c r="C46" t="s">
        <v>33</v>
      </c>
      <c r="D46" t="s">
        <v>98</v>
      </c>
      <c r="E46" t="s">
        <v>99</v>
      </c>
    </row>
    <row r="47" spans="2:5" x14ac:dyDescent="0.7">
      <c r="D47" t="s">
        <v>100</v>
      </c>
      <c r="E47" t="s">
        <v>101</v>
      </c>
    </row>
    <row r="48" spans="2:5" x14ac:dyDescent="0.7">
      <c r="B48">
        <v>1.4</v>
      </c>
      <c r="C48" t="s">
        <v>33</v>
      </c>
      <c r="D48" t="s">
        <v>41</v>
      </c>
      <c r="E48" t="s">
        <v>102</v>
      </c>
    </row>
    <row r="49" spans="2:5" x14ac:dyDescent="0.7">
      <c r="E49" t="s">
        <v>103</v>
      </c>
    </row>
    <row r="50" spans="2:5" x14ac:dyDescent="0.7">
      <c r="D50" t="s">
        <v>41</v>
      </c>
      <c r="E50" t="s">
        <v>104</v>
      </c>
    </row>
    <row r="51" spans="2:5" x14ac:dyDescent="0.7">
      <c r="D51" t="s">
        <v>30</v>
      </c>
      <c r="E51" t="s">
        <v>105</v>
      </c>
    </row>
    <row r="52" spans="2:5" x14ac:dyDescent="0.7">
      <c r="D52" t="s">
        <v>63</v>
      </c>
      <c r="E52" t="s">
        <v>106</v>
      </c>
    </row>
    <row r="53" spans="2:5" x14ac:dyDescent="0.7">
      <c r="D53" t="s">
        <v>52</v>
      </c>
      <c r="E53" t="s">
        <v>107</v>
      </c>
    </row>
    <row r="54" spans="2:5" x14ac:dyDescent="0.7">
      <c r="D54" t="s">
        <v>108</v>
      </c>
      <c r="E54" t="s">
        <v>109</v>
      </c>
    </row>
    <row r="55" spans="2:5" x14ac:dyDescent="0.7">
      <c r="B55">
        <v>1.42</v>
      </c>
      <c r="C55" t="s">
        <v>33</v>
      </c>
      <c r="D55" t="s">
        <v>41</v>
      </c>
      <c r="E55" t="s">
        <v>110</v>
      </c>
    </row>
    <row r="56" spans="2:5" x14ac:dyDescent="0.7">
      <c r="B56">
        <v>1.43</v>
      </c>
      <c r="C56" t="s">
        <v>33</v>
      </c>
      <c r="D56" t="s">
        <v>41</v>
      </c>
      <c r="E56" t="s">
        <v>111</v>
      </c>
    </row>
    <row r="57" spans="2:5" x14ac:dyDescent="0.7">
      <c r="D57" t="s">
        <v>30</v>
      </c>
      <c r="E57" t="s">
        <v>31</v>
      </c>
    </row>
    <row r="58" spans="2:5" x14ac:dyDescent="0.7">
      <c r="D58" t="s">
        <v>147</v>
      </c>
      <c r="E58" t="s">
        <v>148</v>
      </c>
    </row>
    <row r="59" spans="2:5" x14ac:dyDescent="0.7">
      <c r="D59" t="s">
        <v>149</v>
      </c>
      <c r="E59" t="s">
        <v>150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2019-09-15T09:40:41Z</dcterms:modified>
</cp:coreProperties>
</file>