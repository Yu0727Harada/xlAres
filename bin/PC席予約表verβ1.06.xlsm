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6.xml" ContentType="application/vnd.ms-excel.controlproperties+xml"/>
  <Override PartName="/xl/drawings/drawing4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00DC7249-936D-49F9-A25B-68A303E52610}" xr6:coauthVersionLast="41" xr6:coauthVersionMax="45" xr10:uidLastSave="{00000000-0000-0000-0000-000000000000}"/>
  <bookViews>
    <workbookView xWindow="-98" yWindow="-98" windowWidth="30915" windowHeight="16876" activeTab="3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4" l="1"/>
  <c r="C34" i="14" l="1"/>
  <c r="C35" i="14"/>
  <c r="C36" i="14"/>
  <c r="C37" i="14"/>
  <c r="C38" i="14"/>
  <c r="C39" i="14"/>
  <c r="C40" i="14"/>
  <c r="C41" i="14"/>
  <c r="C42" i="14"/>
  <c r="C43" i="14"/>
  <c r="C44" i="14"/>
  <c r="C33" i="14"/>
  <c r="C32" i="14"/>
  <c r="C31" i="14"/>
  <c r="C30" i="14"/>
  <c r="C29" i="14"/>
  <c r="C22" i="14"/>
  <c r="C23" i="14"/>
  <c r="C24" i="14"/>
  <c r="C25" i="14"/>
  <c r="C26" i="14"/>
  <c r="C27" i="14"/>
  <c r="C28" i="14"/>
  <c r="C21" i="14"/>
  <c r="C20" i="14"/>
  <c r="A34" i="14"/>
  <c r="A35" i="14"/>
  <c r="A36" i="14"/>
  <c r="A37" i="14"/>
  <c r="A38" i="14"/>
  <c r="A39" i="14"/>
  <c r="A40" i="14"/>
  <c r="A41" i="14"/>
  <c r="A42" i="14"/>
  <c r="A43" i="14"/>
  <c r="A44" i="14"/>
  <c r="A33" i="14"/>
  <c r="A32" i="14"/>
  <c r="A31" i="14"/>
  <c r="A30" i="14"/>
  <c r="A29" i="14"/>
  <c r="A22" i="14"/>
  <c r="A23" i="14"/>
  <c r="A24" i="14"/>
  <c r="A25" i="14"/>
  <c r="A26" i="14"/>
  <c r="A27" i="14"/>
  <c r="A28" i="14"/>
  <c r="A21" i="14"/>
  <c r="A20" i="14"/>
  <c r="C19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3" i="14"/>
  <c r="C2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3" i="14"/>
  <c r="A2" i="14"/>
  <c r="L2" i="4" l="1"/>
  <c r="C13" i="4" l="1"/>
  <c r="C12" i="4"/>
  <c r="AC2" i="4"/>
  <c r="AE4" i="4" l="1"/>
  <c r="C21" i="4"/>
  <c r="E22" i="4" s="1"/>
  <c r="D4" i="4" s="1"/>
  <c r="D23" i="4" l="1"/>
  <c r="C5" i="4" s="1"/>
  <c r="F22" i="4"/>
  <c r="E4" i="4" s="1"/>
  <c r="J24" i="4"/>
  <c r="I6" i="4" s="1"/>
  <c r="G24" i="4"/>
  <c r="F26" i="4"/>
  <c r="H23" i="4"/>
  <c r="G5" i="4" s="1"/>
  <c r="I25" i="4"/>
  <c r="E23" i="4"/>
  <c r="D5" i="4" s="1"/>
  <c r="D24" i="4"/>
  <c r="J26" i="4"/>
  <c r="I8" i="4" s="1"/>
  <c r="H25" i="4"/>
  <c r="F24" i="4"/>
  <c r="E6" i="4" s="1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H24" i="4"/>
  <c r="J23" i="4"/>
  <c r="I5" i="4" s="1"/>
  <c r="F23" i="4"/>
  <c r="E5" i="4" s="1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I22" i="4"/>
  <c r="E8" i="4"/>
  <c r="E7" i="4"/>
  <c r="F5" i="4"/>
  <c r="F6" i="4"/>
  <c r="AA10" i="4" l="1"/>
  <c r="C4" i="4"/>
  <c r="C8" i="4"/>
  <c r="C7" i="4"/>
  <c r="H8" i="4"/>
  <c r="H4" i="4"/>
  <c r="H7" i="4"/>
  <c r="C6" i="4"/>
  <c r="G7" i="4"/>
  <c r="AB9" i="4"/>
  <c r="AI9" i="4"/>
  <c r="AJ9" i="4"/>
  <c r="AE9" i="4"/>
  <c r="AE6" i="4"/>
  <c r="AB6" i="4"/>
  <c r="AD6" i="4"/>
  <c r="AJ6" i="4"/>
  <c r="AH6" i="4"/>
  <c r="AH10" i="4"/>
  <c r="AJ10" i="4"/>
  <c r="AC10" i="4"/>
  <c r="AE10" i="4"/>
  <c r="AG10" i="4"/>
  <c r="AH9" i="4"/>
  <c r="AF9" i="4"/>
  <c r="AA9" i="4"/>
  <c r="AD9" i="4"/>
  <c r="AI6" i="4"/>
  <c r="AC6" i="4"/>
  <c r="AF6" i="4"/>
  <c r="AG6" i="4"/>
  <c r="AA6" i="4"/>
  <c r="AI10" i="4"/>
  <c r="AB10" i="4"/>
  <c r="AD10" i="4"/>
  <c r="AF10" i="4"/>
  <c r="AG9" i="4"/>
  <c r="AC9" i="4"/>
  <c r="H5" i="4"/>
  <c r="G8" i="4"/>
  <c r="G6" i="4"/>
  <c r="AF7" i="4"/>
  <c r="AJ7" i="4"/>
  <c r="AI8" i="4"/>
  <c r="AJ8" i="4"/>
  <c r="AG8" i="4"/>
  <c r="AG7" i="4"/>
  <c r="AE7" i="4"/>
  <c r="AD8" i="4"/>
  <c r="AE8" i="4"/>
  <c r="AF8" i="4"/>
  <c r="AB7" i="4"/>
  <c r="AA8" i="4"/>
  <c r="AI7" i="4"/>
  <c r="AH7" i="4"/>
  <c r="AD7" i="4"/>
  <c r="AC8" i="4"/>
  <c r="AB8" i="4"/>
  <c r="AC7" i="4"/>
  <c r="AA7" i="4"/>
  <c r="AH8" i="4"/>
</calcChain>
</file>

<file path=xl/sharedStrings.xml><?xml version="1.0" encoding="utf-8"?>
<sst xmlns="http://schemas.openxmlformats.org/spreadsheetml/2006/main" count="198" uniqueCount="125">
  <si>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</si>
  <si>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</si>
  <si>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</si>
  <si>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</si>
  <si>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</si>
  <si>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</si>
  <si>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</si>
  <si>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</si>
  <si>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</si>
  <si>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</si>
  <si>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</si>
  <si>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</si>
  <si>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</si>
  <si>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</si>
  <si>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</si>
  <si>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</si>
  <si>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</si>
  <si>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</si>
  <si>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</si>
  <si>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</si>
  <si>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</si>
  <si>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</si>
  <si>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</si>
  <si>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</si>
  <si>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</si>
  <si>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</si>
  <si>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</si>
  <si>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</si>
  <si>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</si>
  <si>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</si>
  <si>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</si>
  <si>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</si>
  <si>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</si>
  <si>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</si>
  <si>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</si>
  <si>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</si>
  <si>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</si>
  <si>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</si>
  <si>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</si>
  <si>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</si>
  <si>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</si>
  <si>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</si>
  <si>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</si>
  <si>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</si>
  <si>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</si>
  <si>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</si>
  <si>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</si>
  <si>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</si>
  <si>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</si>
  <si>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</si>
  <si>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</si>
  <si>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</si>
  <si>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</si>
  <si>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</si>
  <si>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</si>
  <si>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</si>
  <si>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</si>
  <si>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</si>
  <si>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</si>
  <si>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</si>
  <si>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</si>
  <si>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</si>
  <si>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</si>
  <si>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</si>
  <si>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</si>
  <si>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</si>
  <si>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</si>
  <si>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</si>
  <si>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</si>
  <si>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</si>
  <si>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</si>
  <si>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</si>
  <si>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</si>
  <si>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</si>
  <si>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</si>
  <si>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</si>
  <si>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</si>
  <si>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</si>
  <si>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</si>
  <si>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</si>
  <si>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</si>
  <si>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</si>
  <si>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</si>
  <si>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</si>
  <si>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</si>
  <si>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</si>
  <si>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</si>
  <si>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</si>
  <si>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</si>
  <si>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</si>
  <si>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</si>
  <si>
    <t>test</t>
    <phoneticPr fontId="1"/>
  </si>
  <si>
    <t>\Noimage.png</t>
  </si>
  <si>
    <t>testest</t>
    <phoneticPr fontId="1"/>
  </si>
  <si>
    <t>on</t>
    <phoneticPr fontId="1"/>
  </si>
  <si>
    <t>off</t>
    <phoneticPr fontId="1"/>
  </si>
  <si>
    <t>学科</t>
    <rPh sb="0" eb="2">
      <t>ガッカ</t>
    </rPh>
    <phoneticPr fontId="1"/>
  </si>
  <si>
    <t>学籍番号コード</t>
    <rPh sb="0" eb="4">
      <t>ガクセキバンゴウ</t>
    </rPh>
    <phoneticPr fontId="1"/>
  </si>
  <si>
    <t>台帳番号コード</t>
    <rPh sb="0" eb="4">
      <t>ダイチョウバンゴウ</t>
    </rPh>
    <phoneticPr fontId="1"/>
  </si>
  <si>
    <t>M哲</t>
    <rPh sb="1" eb="2">
      <t>テツ</t>
    </rPh>
    <phoneticPr fontId="1"/>
  </si>
  <si>
    <t>M史</t>
    <rPh sb="1" eb="2">
      <t>シ</t>
    </rPh>
    <phoneticPr fontId="1"/>
  </si>
  <si>
    <t>M国文</t>
    <rPh sb="1" eb="3">
      <t>コクブン</t>
    </rPh>
    <phoneticPr fontId="1"/>
  </si>
  <si>
    <t>M中文</t>
    <rPh sb="1" eb="3">
      <t>チュウブン</t>
    </rPh>
    <phoneticPr fontId="1"/>
  </si>
  <si>
    <t>M英文</t>
    <rPh sb="1" eb="3">
      <t>エイブン</t>
    </rPh>
    <phoneticPr fontId="1"/>
  </si>
  <si>
    <t>Mドイツ文</t>
    <rPh sb="4" eb="5">
      <t>ブン</t>
    </rPh>
    <phoneticPr fontId="1"/>
  </si>
  <si>
    <t>M社会</t>
    <rPh sb="1" eb="3">
      <t>シャカイ</t>
    </rPh>
    <phoneticPr fontId="1"/>
  </si>
  <si>
    <t>M教育</t>
    <rPh sb="1" eb="3">
      <t>キョウイク</t>
    </rPh>
    <phoneticPr fontId="1"/>
  </si>
  <si>
    <t>M心理</t>
    <rPh sb="1" eb="3">
      <t>シンリ</t>
    </rPh>
    <phoneticPr fontId="1"/>
  </si>
  <si>
    <t>M地理学</t>
    <rPh sb="1" eb="4">
      <t>チリガク</t>
    </rPh>
    <phoneticPr fontId="1"/>
  </si>
  <si>
    <t>M地球情報数理科</t>
    <rPh sb="1" eb="3">
      <t>チキュウ</t>
    </rPh>
    <rPh sb="3" eb="5">
      <t>ジョウホウ</t>
    </rPh>
    <rPh sb="5" eb="7">
      <t>スウリ</t>
    </rPh>
    <rPh sb="7" eb="8">
      <t>カ</t>
    </rPh>
    <phoneticPr fontId="1"/>
  </si>
  <si>
    <t>M相関理化学</t>
    <rPh sb="1" eb="6">
      <t>ソウカンリカガク</t>
    </rPh>
    <phoneticPr fontId="1"/>
  </si>
  <si>
    <t>D外国史</t>
    <rPh sb="1" eb="4">
      <t>ガイコクシ</t>
    </rPh>
    <phoneticPr fontId="1"/>
  </si>
  <si>
    <t>D日本史</t>
    <rPh sb="1" eb="4">
      <t>ニホンシ</t>
    </rPh>
    <phoneticPr fontId="1"/>
  </si>
  <si>
    <t>D哲</t>
    <rPh sb="1" eb="2">
      <t>テツ</t>
    </rPh>
    <phoneticPr fontId="1"/>
  </si>
  <si>
    <t>D国文</t>
    <rPh sb="1" eb="3">
      <t>コクブン</t>
    </rPh>
    <phoneticPr fontId="1"/>
  </si>
  <si>
    <t>D中文</t>
    <rPh sb="1" eb="3">
      <t>チュウブン</t>
    </rPh>
    <phoneticPr fontId="1"/>
  </si>
  <si>
    <t>D英文</t>
    <rPh sb="1" eb="3">
      <t>エイブン</t>
    </rPh>
    <phoneticPr fontId="1"/>
  </si>
  <si>
    <t>Dドイツ文</t>
    <rPh sb="4" eb="5">
      <t>ブン</t>
    </rPh>
    <phoneticPr fontId="1"/>
  </si>
  <si>
    <t>D社会</t>
    <rPh sb="1" eb="3">
      <t>シャカイ</t>
    </rPh>
    <phoneticPr fontId="1"/>
  </si>
  <si>
    <t>D教育</t>
    <rPh sb="1" eb="3">
      <t>キョウイク</t>
    </rPh>
    <phoneticPr fontId="1"/>
  </si>
  <si>
    <t>D心理</t>
    <rPh sb="1" eb="3">
      <t>シンリ</t>
    </rPh>
    <phoneticPr fontId="1"/>
  </si>
  <si>
    <t>D地理学</t>
    <rPh sb="1" eb="4">
      <t>チリガク</t>
    </rPh>
    <phoneticPr fontId="1"/>
  </si>
  <si>
    <t>D地球情報数理科</t>
    <rPh sb="1" eb="3">
      <t>チキュウ</t>
    </rPh>
    <rPh sb="3" eb="5">
      <t>ジョウホウ</t>
    </rPh>
    <rPh sb="5" eb="7">
      <t>スウリ</t>
    </rPh>
    <rPh sb="7" eb="8">
      <t>カ</t>
    </rPh>
    <phoneticPr fontId="1"/>
  </si>
  <si>
    <t>D相関理化学</t>
    <rPh sb="1" eb="6">
      <t>ソウカンリカガク</t>
    </rPh>
    <phoneticPr fontId="1"/>
  </si>
  <si>
    <t>A-C列は処理で使っていますので、基本変更しないでください。</t>
    <rPh sb="3" eb="4">
      <t>レツ</t>
    </rPh>
    <rPh sb="5" eb="7">
      <t>ショリ</t>
    </rPh>
    <rPh sb="8" eb="9">
      <t>ツカ</t>
    </rPh>
    <rPh sb="17" eb="19">
      <t>キホン</t>
    </rPh>
    <rPh sb="19" eb="21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</si>
</sst>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8737B"/>
        <bgColor indexed="64"/>
      </patternFill>
    </fill>
    <fill>
      <patternFill patternType="solid">
        <fgColor rgb="FF68492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2" fillId="0" borderId="0" xfId="0" applyNumberFormat="1" applyFo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6</xdr:row>
          <xdr:rowOff>433388</xdr:rowOff>
        </xdr:from>
        <xdr:to>
          <xdr:col>18</xdr:col>
          <xdr:colOff>328613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3</xdr:row>
          <xdr:rowOff>61913</xdr:rowOff>
        </xdr:from>
        <xdr:to>
          <xdr:col>18</xdr:col>
          <xdr:colOff>290513</xdr:colOff>
          <xdr:row>4</xdr:row>
          <xdr:rowOff>23813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138113</xdr:rowOff>
        </xdr:from>
        <xdr:to>
          <xdr:col>23</xdr:col>
          <xdr:colOff>547688</xdr:colOff>
          <xdr:row>4</xdr:row>
          <xdr:rowOff>776288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7</xdr:row>
          <xdr:rowOff>571500</xdr:rowOff>
        </xdr:from>
        <xdr:to>
          <xdr:col>18</xdr:col>
          <xdr:colOff>319088</xdr:colOff>
          <xdr:row>9</xdr:row>
          <xdr:rowOff>304800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5034" y="928642"/>
          <a:ext cx="9457266" cy="4829221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7788" y="970564"/>
          <a:ext cx="9434512" cy="4803175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7200" y="1304925"/>
          <a:ext cx="882111" cy="4477787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28480" y="1305983"/>
          <a:ext cx="2595283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49373" y="7220580"/>
          <a:ext cx="2880895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23813</xdr:rowOff>
        </xdr:from>
        <xdr:to>
          <xdr:col>24</xdr:col>
          <xdr:colOff>495300</xdr:colOff>
          <xdr:row>19</xdr:row>
          <xdr:rowOff>214313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5</xdr:row>
          <xdr:rowOff>366713</xdr:rowOff>
        </xdr:from>
        <xdr:to>
          <xdr:col>18</xdr:col>
          <xdr:colOff>319088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90488</xdr:rowOff>
        </xdr:from>
        <xdr:to>
          <xdr:col>23</xdr:col>
          <xdr:colOff>571500</xdr:colOff>
          <xdr:row>15</xdr:row>
          <xdr:rowOff>266700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38100</xdr:rowOff>
        </xdr:from>
        <xdr:to>
          <xdr:col>15</xdr:col>
          <xdr:colOff>138113</xdr:colOff>
          <xdr:row>3</xdr:row>
          <xdr:rowOff>433388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3</xdr:row>
          <xdr:rowOff>571500</xdr:rowOff>
        </xdr:from>
        <xdr:to>
          <xdr:col>15</xdr:col>
          <xdr:colOff>204788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4</xdr:row>
          <xdr:rowOff>190500</xdr:rowOff>
        </xdr:from>
        <xdr:to>
          <xdr:col>15</xdr:col>
          <xdr:colOff>204788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4</xdr:row>
          <xdr:rowOff>738188</xdr:rowOff>
        </xdr:from>
        <xdr:to>
          <xdr:col>15</xdr:col>
          <xdr:colOff>190500</xdr:colOff>
          <xdr:row>5</xdr:row>
          <xdr:rowOff>242888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357188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762000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319088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1014413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8</xdr:row>
          <xdr:rowOff>152400</xdr:rowOff>
        </xdr:from>
        <xdr:to>
          <xdr:col>15</xdr:col>
          <xdr:colOff>166688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11</xdr:row>
          <xdr:rowOff>328613</xdr:rowOff>
        </xdr:from>
        <xdr:to>
          <xdr:col>14</xdr:col>
          <xdr:colOff>557213</xdr:colOff>
          <xdr:row>12</xdr:row>
          <xdr:rowOff>290513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228600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14</xdr:col>
          <xdr:colOff>557213</xdr:colOff>
          <xdr:row>13</xdr:row>
          <xdr:rowOff>366713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138113</xdr:rowOff>
        </xdr:from>
        <xdr:to>
          <xdr:col>18</xdr:col>
          <xdr:colOff>280988</xdr:colOff>
          <xdr:row>4</xdr:row>
          <xdr:rowOff>890588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61913</xdr:rowOff>
        </xdr:from>
        <xdr:to>
          <xdr:col>23</xdr:col>
          <xdr:colOff>495300</xdr:colOff>
          <xdr:row>9</xdr:row>
          <xdr:rowOff>114300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14</xdr:row>
          <xdr:rowOff>138113</xdr:rowOff>
        </xdr:from>
        <xdr:to>
          <xdr:col>14</xdr:col>
          <xdr:colOff>547688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18</xdr:col>
      <xdr:colOff>409575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6877" y="6738807"/>
          <a:ext cx="4431373" cy="2108859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61913</xdr:colOff>
          <xdr:row>12</xdr:row>
          <xdr:rowOff>23813</xdr:rowOff>
        </xdr:from>
        <xdr:to>
          <xdr:col>17</xdr:col>
          <xdr:colOff>661988</xdr:colOff>
          <xdr:row>12</xdr:row>
          <xdr:rowOff>366713</xdr:rowOff>
        </xdr:to>
        <xdr:sp macro="" textlink="">
          <xdr:nvSpPr>
            <xdr:cNvPr id="2829" name="Button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0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定期セーブon/off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14</xdr:row>
          <xdr:rowOff>176213</xdr:rowOff>
        </xdr:from>
        <xdr:to>
          <xdr:col>17</xdr:col>
          <xdr:colOff>666750</xdr:colOff>
          <xdr:row>15</xdr:row>
          <xdr:rowOff>338138</xdr:rowOff>
        </xdr:to>
        <xdr:sp macro="" textlink="">
          <xdr:nvSpPr>
            <xdr:cNvPr id="2835" name="Button 787" hidden="1">
              <a:extLst>
                <a:ext uri="{63B3BB69-23CF-44E3-9099-C40C66FF867C}">
                  <a14:compatExt spid="_x0000_s2835"/>
                </a:ext>
                <a:ext uri="{FF2B5EF4-FFF2-40B4-BE49-F238E27FC236}">
                  <a16:creationId xmlns:a16="http://schemas.microsoft.com/office/drawing/2014/main" id="{00000000-0008-0000-0000-00001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生データをエクスポート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41" name="Picture 793">
          <a:extLst>
            <a:ext uri="{FF2B5EF4-FFF2-40B4-BE49-F238E27FC236}">
              <a16:creationId xmlns:a16="http://schemas.microsoft.com/office/drawing/2014/main" id="{4D6EC3B8-0084-4249-83E3-2E0E5010E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2388" y="2195513"/>
          <a:ext cx="3105150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1395174</xdr:colOff>
      <xdr:row>0</xdr:row>
      <xdr:rowOff>45720</xdr:rowOff>
    </xdr:from>
    <xdr:to>
      <xdr:col>1</xdr:col>
      <xdr:colOff>2945368</xdr:colOff>
      <xdr:row>0</xdr:row>
      <xdr:rowOff>1760220</xdr:rowOff>
    </xdr:to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 txBox="1"/>
      </xdr:nvSpPr>
      <xdr:spPr>
        <a:xfrm>
          <a:off x="2066687" y="4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1</xdr:colOff>
      <xdr:row>1</xdr:row>
      <xdr:rowOff>0</xdr:rowOff>
    </xdr:to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 txBox="1"/>
      </xdr:nvSpPr>
      <xdr:spPr>
        <a:xfrm>
          <a:off x="671513" y="125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0</xdr:row>
      <xdr:rowOff>114300</xdr:rowOff>
    </xdr:from>
    <xdr:to>
      <xdr:col>1</xdr:col>
      <xdr:colOff>1214294</xdr:colOff>
      <xdr:row>0</xdr:row>
      <xdr:rowOff>1261442</xdr:rowOff>
    </xdr:to>
    <xdr:pic>
      <xdr:nvPicPr>
        <xdr:cNvPr id="148" name="図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1</xdr:row>
      <xdr:rowOff>45720</xdr:rowOff>
    </xdr:from>
    <xdr:to>
      <xdr:col>1</xdr:col>
      <xdr:colOff>2945368</xdr:colOff>
      <xdr:row>1</xdr:row>
      <xdr:rowOff>1760220</xdr:rowOff>
    </xdr:to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 txBox="1"/>
      </xdr:nvSpPr>
      <xdr:spPr>
        <a:xfrm>
          <a:off x="2066687" y="233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1</xdr:colOff>
      <xdr:row>2</xdr:row>
      <xdr:rowOff>0</xdr:rowOff>
    </xdr:to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 txBox="1"/>
      </xdr:nvSpPr>
      <xdr:spPr>
        <a:xfrm>
          <a:off x="671513" y="354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1</xdr:row>
      <xdr:rowOff>114300</xdr:rowOff>
    </xdr:from>
    <xdr:to>
      <xdr:col>1</xdr:col>
      <xdr:colOff>1214294</xdr:colOff>
      <xdr:row>1</xdr:row>
      <xdr:rowOff>1261442</xdr:rowOff>
    </xdr:to>
    <xdr:pic>
      <xdr:nvPicPr>
        <xdr:cNvPr id="209" name="図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2400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2</xdr:row>
      <xdr:rowOff>45720</xdr:rowOff>
    </xdr:from>
    <xdr:to>
      <xdr:col>1</xdr:col>
      <xdr:colOff>2945368</xdr:colOff>
      <xdr:row>2</xdr:row>
      <xdr:rowOff>1760220</xdr:rowOff>
    </xdr:to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 txBox="1"/>
      </xdr:nvSpPr>
      <xdr:spPr>
        <a:xfrm>
          <a:off x="2066687" y="4617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1</xdr:colOff>
      <xdr:row>3</xdr:row>
      <xdr:rowOff>0</xdr:rowOff>
    </xdr:to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 txBox="1"/>
      </xdr:nvSpPr>
      <xdr:spPr>
        <a:xfrm>
          <a:off x="671513" y="5829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2</xdr:row>
      <xdr:rowOff>114300</xdr:rowOff>
    </xdr:from>
    <xdr:to>
      <xdr:col>1</xdr:col>
      <xdr:colOff>1214294</xdr:colOff>
      <xdr:row>2</xdr:row>
      <xdr:rowOff>1261442</xdr:rowOff>
    </xdr:to>
    <xdr:pic>
      <xdr:nvPicPr>
        <xdr:cNvPr id="213" name="図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4686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3</xdr:row>
      <xdr:rowOff>45720</xdr:rowOff>
    </xdr:from>
    <xdr:to>
      <xdr:col>1</xdr:col>
      <xdr:colOff>2945368</xdr:colOff>
      <xdr:row>3</xdr:row>
      <xdr:rowOff>1760220</xdr:rowOff>
    </xdr:to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 txBox="1"/>
      </xdr:nvSpPr>
      <xdr:spPr>
        <a:xfrm>
          <a:off x="2066687" y="6903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1</xdr:colOff>
      <xdr:row>4</xdr:row>
      <xdr:rowOff>0</xdr:rowOff>
    </xdr:to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 txBox="1"/>
      </xdr:nvSpPr>
      <xdr:spPr>
        <a:xfrm>
          <a:off x="671513" y="8115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3</xdr:row>
      <xdr:rowOff>114300</xdr:rowOff>
    </xdr:from>
    <xdr:to>
      <xdr:col>1</xdr:col>
      <xdr:colOff>1214294</xdr:colOff>
      <xdr:row>3</xdr:row>
      <xdr:rowOff>1261442</xdr:rowOff>
    </xdr:to>
    <xdr:pic>
      <xdr:nvPicPr>
        <xdr:cNvPr id="217" name="図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6972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4</xdr:row>
      <xdr:rowOff>45720</xdr:rowOff>
    </xdr:from>
    <xdr:to>
      <xdr:col>1</xdr:col>
      <xdr:colOff>2945368</xdr:colOff>
      <xdr:row>4</xdr:row>
      <xdr:rowOff>1760220</xdr:rowOff>
    </xdr:to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 txBox="1"/>
      </xdr:nvSpPr>
      <xdr:spPr>
        <a:xfrm>
          <a:off x="2066687" y="9189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1</xdr:colOff>
      <xdr:row>5</xdr:row>
      <xdr:rowOff>0</xdr:rowOff>
    </xdr:to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 txBox="1"/>
      </xdr:nvSpPr>
      <xdr:spPr>
        <a:xfrm>
          <a:off x="671513" y="10401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4</xdr:row>
      <xdr:rowOff>114300</xdr:rowOff>
    </xdr:from>
    <xdr:to>
      <xdr:col>1</xdr:col>
      <xdr:colOff>1214294</xdr:colOff>
      <xdr:row>4</xdr:row>
      <xdr:rowOff>1261442</xdr:rowOff>
    </xdr:to>
    <xdr:pic>
      <xdr:nvPicPr>
        <xdr:cNvPr id="221" name="図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9258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5</xdr:row>
      <xdr:rowOff>45720</xdr:rowOff>
    </xdr:from>
    <xdr:to>
      <xdr:col>1</xdr:col>
      <xdr:colOff>2945368</xdr:colOff>
      <xdr:row>5</xdr:row>
      <xdr:rowOff>1760220</xdr:rowOff>
    </xdr:to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 txBox="1"/>
      </xdr:nvSpPr>
      <xdr:spPr>
        <a:xfrm>
          <a:off x="2066687" y="1147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1</xdr:colOff>
      <xdr:row>6</xdr:row>
      <xdr:rowOff>0</xdr:rowOff>
    </xdr:to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 txBox="1"/>
      </xdr:nvSpPr>
      <xdr:spPr>
        <a:xfrm>
          <a:off x="671513" y="1268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5</xdr:row>
      <xdr:rowOff>114300</xdr:rowOff>
    </xdr:from>
    <xdr:to>
      <xdr:col>1</xdr:col>
      <xdr:colOff>1214294</xdr:colOff>
      <xdr:row>5</xdr:row>
      <xdr:rowOff>1261442</xdr:rowOff>
    </xdr:to>
    <xdr:pic>
      <xdr:nvPicPr>
        <xdr:cNvPr id="225" name="図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54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6</xdr:row>
      <xdr:rowOff>45720</xdr:rowOff>
    </xdr:from>
    <xdr:to>
      <xdr:col>1</xdr:col>
      <xdr:colOff>2945368</xdr:colOff>
      <xdr:row>6</xdr:row>
      <xdr:rowOff>1760220</xdr:rowOff>
    </xdr:to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2066687" y="1376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6</xdr:row>
      <xdr:rowOff>1257300</xdr:rowOff>
    </xdr:from>
    <xdr:to>
      <xdr:col>2</xdr:col>
      <xdr:colOff>1</xdr:colOff>
      <xdr:row>7</xdr:row>
      <xdr:rowOff>0</xdr:rowOff>
    </xdr:to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 txBox="1"/>
      </xdr:nvSpPr>
      <xdr:spPr>
        <a:xfrm>
          <a:off x="671513" y="1497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6</xdr:row>
      <xdr:rowOff>114300</xdr:rowOff>
    </xdr:from>
    <xdr:to>
      <xdr:col>1</xdr:col>
      <xdr:colOff>1214294</xdr:colOff>
      <xdr:row>6</xdr:row>
      <xdr:rowOff>1261442</xdr:rowOff>
    </xdr:to>
    <xdr:pic>
      <xdr:nvPicPr>
        <xdr:cNvPr id="229" name="図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3830300"/>
          <a:ext cx="1147143" cy="1147142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138113</xdr:rowOff>
        </xdr:from>
        <xdr:to>
          <xdr:col>8</xdr:col>
          <xdr:colOff>585788</xdr:colOff>
          <xdr:row>2</xdr:row>
          <xdr:rowOff>14288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366713</xdr:colOff>
          <xdr:row>0</xdr:row>
          <xdr:rowOff>90488</xdr:rowOff>
        </xdr:from>
        <xdr:to>
          <xdr:col>5</xdr:col>
          <xdr:colOff>481013</xdr:colOff>
          <xdr:row>2</xdr:row>
          <xdr:rowOff>100013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defaultGridColor="0" colorId="63" zoomScaleNormal="100" workbookViewId="0">
      <selection activeCell="P15" sqref="P15"/>
    </sheetView>
  </sheetViews>
  <sheetFormatPr defaultColWidth="8.8125" defaultRowHeight="17.649999999999999" x14ac:dyDescent="0.7"/>
  <cols>
    <col min="1" max="1" width="6" customWidth="1"/>
    <col min="2" max="2" width="11.6875" customWidth="1"/>
    <col min="3" max="9" width="17.6875" customWidth="1"/>
    <col min="10" max="10" width="9.1875" customWidth="1"/>
    <col min="11" max="11" width="22.8125" customWidth="1"/>
    <col min="12" max="12" width="23.5" customWidth="1"/>
    <col min="13" max="13" width="13.1875" customWidth="1"/>
    <col min="14" max="14" width="15.5" customWidth="1"/>
    <col min="27" max="35" width="10.6875" customWidth="1"/>
    <col min="36" max="36" width="11.5" customWidth="1"/>
  </cols>
  <sheetData>
    <row r="1" spans="1:36" ht="31.05" customHeight="1" x14ac:dyDescent="1">
      <c r="B1" s="9"/>
      <c r="C1" s="17"/>
      <c r="K1" s="25" t="s">
        <v>22</v>
      </c>
      <c r="L1" s="26" t="s">
        <v>65</v>
      </c>
    </row>
    <row r="2" spans="1:36" ht="47" customHeight="1" x14ac:dyDescent="1.5">
      <c r="A2" s="10"/>
      <c r="B2" s="11"/>
      <c r="C2" s="10"/>
      <c r="D2" s="10"/>
      <c r="E2" s="12"/>
      <c r="F2" s="22" t="s">
        <v>12</v>
      </c>
      <c r="G2" s="12"/>
      <c r="H2" s="12"/>
      <c r="I2" s="12"/>
      <c r="K2" s="43">
        <f ca="1">TODAY()</f>
        <v>43845</v>
      </c>
      <c r="L2" s="44">
        <f ca="1">NOW()-INT(NOW())</f>
        <v>0.61605335648346227</v>
      </c>
      <c r="N2" s="40" t="s">
        <v>85</v>
      </c>
      <c r="U2" s="33"/>
      <c r="AA2" s="30" t="s">
        <v>72</v>
      </c>
      <c r="AB2" s="31"/>
      <c r="AC2" s="28">
        <f ca="1">setting_time(L2)</f>
        <v>5</v>
      </c>
    </row>
    <row r="3" spans="1:36" ht="25.2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3"/>
      <c r="L3" s="44"/>
      <c r="N3" s="45" t="s">
        <v>86</v>
      </c>
      <c r="O3" s="45"/>
      <c r="P3" s="12"/>
      <c r="Q3" t="s">
        <v>87</v>
      </c>
      <c r="T3" t="s">
        <v>88</v>
      </c>
    </row>
    <row r="4" spans="1:36" ht="70.25" customHeight="1" x14ac:dyDescent="0.7">
      <c r="A4" s="10"/>
      <c r="B4" s="13">
        <v>1</v>
      </c>
      <c r="C4" s="42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2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2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2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1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1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41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24"/>
      <c r="N4" s="24"/>
      <c r="T4" s="28" t="s">
        <v>94</v>
      </c>
      <c r="U4" s="30"/>
      <c r="V4" s="31"/>
      <c r="W4" s="31"/>
      <c r="X4" s="32"/>
      <c r="Z4" s="30" t="s">
        <v>73</v>
      </c>
      <c r="AA4" s="31"/>
      <c r="AB4" s="31" t="s">
        <v>74</v>
      </c>
      <c r="AC4" s="31"/>
      <c r="AD4" s="31"/>
      <c r="AE4" s="28">
        <f ca="1">AC2</f>
        <v>5</v>
      </c>
    </row>
    <row r="5" spans="1:36" ht="70.25" customHeight="1" x14ac:dyDescent="0.7">
      <c r="A5" s="21"/>
      <c r="B5" s="13">
        <v>2</v>
      </c>
      <c r="C5" s="42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2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2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6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>使用済</v>
      </c>
      <c r="G5" s="41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1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41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24"/>
      <c r="N5" s="24"/>
      <c r="T5" s="28" t="s">
        <v>64</v>
      </c>
      <c r="U5" s="30"/>
      <c r="V5" s="31"/>
      <c r="W5" s="31"/>
      <c r="X5" s="32"/>
      <c r="Z5" s="28" t="s">
        <v>69</v>
      </c>
      <c r="AA5" s="28" t="s">
        <v>75</v>
      </c>
      <c r="AB5" s="28" t="s">
        <v>76</v>
      </c>
      <c r="AC5" s="28" t="s">
        <v>77</v>
      </c>
      <c r="AD5" s="28" t="s">
        <v>78</v>
      </c>
      <c r="AE5" s="28" t="s">
        <v>79</v>
      </c>
      <c r="AF5" s="28" t="s">
        <v>80</v>
      </c>
      <c r="AG5" s="28" t="s">
        <v>81</v>
      </c>
      <c r="AH5" s="28" t="s">
        <v>82</v>
      </c>
      <c r="AI5" s="28" t="s">
        <v>83</v>
      </c>
      <c r="AJ5" s="28" t="s">
        <v>84</v>
      </c>
    </row>
    <row r="6" spans="1:36" ht="70.25" customHeight="1" x14ac:dyDescent="0.7">
      <c r="A6" s="21"/>
      <c r="B6" s="13">
        <v>3</v>
      </c>
      <c r="C6" s="42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42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2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6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>使用済</v>
      </c>
      <c r="G6" s="41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1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41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3"/>
      <c r="L6" s="23"/>
      <c r="T6" s="29" t="s">
        <v>71</v>
      </c>
      <c r="Z6" s="28">
        <v>1</v>
      </c>
      <c r="AA6" s="28" t="str">
        <f ca="1">IFERROR(IF(INDEX(生データ!$D:$D,MATCH(OFFSET($D$22,$Z6-1,$AE$4-1),生データ!$D:$D,1))=OFFSET($D$22,$Z6-1,$AE$4-1),decord_number(VLOOKUP(OFFSET($D$22,$Z6-1,$AE$4-1),生データ!$D:$O,COLUMN(C1),TRUE)),""),"")</f>
        <v/>
      </c>
      <c r="AB6" s="28" t="str">
        <f ca="1">IFERROR(IF(INDEX(生データ!$D:$D,MATCH(OFFSET($D$22,$Z6-1,$AE$4-1),生データ!$D:$D,1))=OFFSET($D$22,$Z6-1,$AE$4-1),decord_number(VLOOKUP(OFFSET($D$22,$Z6-1,$AE$4-1),生データ!$D:$O,COLUMN(D1),TRUE)),""),"")</f>
        <v/>
      </c>
      <c r="AC6" s="28" t="str">
        <f ca="1">IFERROR(IF(INDEX(生データ!$D:$D,MATCH(OFFSET($D$22,$Z6-1,$AE$4-1),生データ!$D:$D,1))=OFFSET($D$22,$Z6-1,$AE$4-1),decord_number(VLOOKUP(OFFSET($D$22,$Z6-1,$AE$4-1),生データ!$D:$O,COLUMN(E1),TRUE)),""),"")</f>
        <v/>
      </c>
      <c r="AD6" s="28" t="str">
        <f ca="1">IFERROR(IF(INDEX(生データ!$D:$D,MATCH(OFFSET($D$22,$Z6-1,$AE$4-1),生データ!$D:$D,1))=OFFSET($D$22,$Z6-1,$AE$4-1),decord_number(VLOOKUP(OFFSET($D$22,$Z6-1,$AE$4-1),生データ!$D:$O,COLUMN(F1),TRUE)),""),"")</f>
        <v/>
      </c>
      <c r="AE6" s="28" t="str">
        <f ca="1">IFERROR(IF(INDEX(生データ!$D:$D,MATCH(OFFSET($D$22,$Z6-1,$AE$4-1),生データ!$D:$D,1))=OFFSET($D$22,$Z6-1,$AE$4-1),decord_number(VLOOKUP(OFFSET($D$22,$Z6-1,$AE$4-1),生データ!$D:$O,COLUMN(G1),TRUE)),""),"")</f>
        <v/>
      </c>
      <c r="AF6" s="28" t="str">
        <f ca="1">IFERROR(IF(INDEX(生データ!$D:$D,MATCH(OFFSET($D$22,$Z6-1,$AE$4-1),生データ!$D:$D,1))=OFFSET($D$22,$Z6-1,$AE$4-1),decord_number(VLOOKUP(OFFSET($D$22,$Z6-1,$AE$4-1),生データ!$D:$O,COLUMN(H1),TRUE)),""),"")</f>
        <v/>
      </c>
      <c r="AG6" s="28" t="str">
        <f ca="1">IFERROR(IF(INDEX(生データ!$D:$D,MATCH(OFFSET($D$22,$Z6-1,$AE$4-1),生データ!$D:$D,1))=OFFSET($D$22,$Z6-1,$AE$4-1),decord_number(VLOOKUP(OFFSET($D$22,$Z6-1,$AE$4-1),生データ!$D:$O,COLUMN(I1),TRUE)),""),"")</f>
        <v/>
      </c>
      <c r="AH6" s="28" t="str">
        <f ca="1">IFERROR(IF(INDEX(生データ!$D:$D,MATCH(OFFSET($D$22,$Z6-1,$AE$4-1),生データ!$D:$D,1))=OFFSET($D$22,$Z6-1,$AE$4-1),decord_number(VLOOKUP(OFFSET($D$22,$Z6-1,$AE$4-1),生データ!$D:$O,COLUMN(J1),TRUE)),""),"")</f>
        <v/>
      </c>
      <c r="AI6" s="28" t="str">
        <f ca="1">IFERROR(IF(INDEX(生データ!$D:$D,MATCH(OFFSET($D$22,$Z6-1,$AE$4-1),生データ!$D:$D,1))=OFFSET($D$22,$Z6-1,$AE$4-1),decord_number(VLOOKUP(OFFSET($D$22,$Z6-1,$AE$4-1),生データ!$D:$O,COLUMN(K1),TRUE)),""),"")</f>
        <v/>
      </c>
      <c r="AJ6" s="28" t="str">
        <f ca="1">IFERROR(IF(INDEX(生データ!$D:$D,MATCH(OFFSET($D$22,$Z6-1,$AE$4-1),生データ!$D:$D,1))=OFFSET($D$22,$Z6-1,$AE$4-1),decord_number(VLOOKUP(OFFSET($D$22,$Z6-1,$AE$4-1),生データ!$D:$O,COLUMN(L1),TRUE)),""),"")</f>
        <v/>
      </c>
    </row>
    <row r="7" spans="1:36" ht="70.25" customHeight="1" x14ac:dyDescent="0.7">
      <c r="A7" s="21"/>
      <c r="B7" s="13">
        <v>4</v>
      </c>
      <c r="C7" s="42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2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6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>使用済</v>
      </c>
      <c r="F7" s="42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1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1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41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3"/>
      <c r="L7" s="23"/>
      <c r="T7" s="28"/>
      <c r="U7" s="28"/>
      <c r="V7" s="28"/>
      <c r="W7" s="28"/>
      <c r="X7" s="28"/>
      <c r="Z7" s="28">
        <v>2</v>
      </c>
      <c r="AA7" s="28" t="str">
        <f ca="1">IFERROR(IF(INDEX(生データ!$D:$D,MATCH(OFFSET($D$22,$Z7-1,$AE$4-1),生データ!$D:$D,1))=OFFSET($D$22,$Z7-1,$AE$4-1),decord_number(VLOOKUP(OFFSET($D$22,$Z7-1,$AE$4-1),生データ!$D:$O,COLUMN(C2),TRUE)),""),"")</f>
        <v/>
      </c>
      <c r="AB7" s="28" t="str">
        <f ca="1">IFERROR(IF(INDEX(生データ!$D:$D,MATCH(OFFSET($D$22,$Z7-1,$AE$4-1),生データ!$D:$D,1))=OFFSET($D$22,$Z7-1,$AE$4-1),decord_number(VLOOKUP(OFFSET($D$22,$Z7-1,$AE$4-1),生データ!$D:$O,COLUMN(D2),TRUE)),""),"")</f>
        <v/>
      </c>
      <c r="AC7" s="28" t="str">
        <f ca="1">IFERROR(IF(INDEX(生データ!$D:$D,MATCH(OFFSET($D$22,$Z7-1,$AE$4-1),生データ!$D:$D,1))=OFFSET($D$22,$Z7-1,$AE$4-1),decord_number(VLOOKUP(OFFSET($D$22,$Z7-1,$AE$4-1),生データ!$D:$O,COLUMN(E2),TRUE)),""),"")</f>
        <v/>
      </c>
      <c r="AD7" s="28" t="str">
        <f ca="1">IFERROR(IF(INDEX(生データ!$D:$D,MATCH(OFFSET($D$22,$Z7-1,$AE$4-1),生データ!$D:$D,1))=OFFSET($D$22,$Z7-1,$AE$4-1),decord_number(VLOOKUP(OFFSET($D$22,$Z7-1,$AE$4-1),生データ!$D:$O,COLUMN(F2),TRUE)),""),"")</f>
        <v/>
      </c>
      <c r="AE7" s="28" t="str">
        <f ca="1">IFERROR(IF(INDEX(生データ!$D:$D,MATCH(OFFSET($D$22,$Z7-1,$AE$4-1),生データ!$D:$D,1))=OFFSET($D$22,$Z7-1,$AE$4-1),decord_number(VLOOKUP(OFFSET($D$22,$Z7-1,$AE$4-1),生データ!$D:$O,COLUMN(G2),TRUE)),""),"")</f>
        <v/>
      </c>
      <c r="AF7" s="28" t="str">
        <f ca="1">IFERROR(IF(INDEX(生データ!$D:$D,MATCH(OFFSET($D$22,$Z7-1,$AE$4-1),生データ!$D:$D,1))=OFFSET($D$22,$Z7-1,$AE$4-1),decord_number(VLOOKUP(OFFSET($D$22,$Z7-1,$AE$4-1),生データ!$D:$O,COLUMN(H2),TRUE)),""),"")</f>
        <v/>
      </c>
      <c r="AG7" s="28" t="str">
        <f ca="1">IFERROR(IF(INDEX(生データ!$D:$D,MATCH(OFFSET($D$22,$Z7-1,$AE$4-1),生データ!$D:$D,1))=OFFSET($D$22,$Z7-1,$AE$4-1),decord_number(VLOOKUP(OFFSET($D$22,$Z7-1,$AE$4-1),生データ!$D:$O,COLUMN(I2),TRUE)),""),"")</f>
        <v/>
      </c>
      <c r="AH7" s="28" t="str">
        <f ca="1">IFERROR(IF(INDEX(生データ!$D:$D,MATCH(OFFSET($D$22,$Z7-1,$AE$4-1),生データ!$D:$D,1))=OFFSET($D$22,$Z7-1,$AE$4-1),decord_number(VLOOKUP(OFFSET($D$22,$Z7-1,$AE$4-1),生データ!$D:$O,COLUMN(J2),TRUE)),""),"")</f>
        <v/>
      </c>
      <c r="AI7" s="28" t="str">
        <f ca="1">IFERROR(IF(INDEX(生データ!$D:$D,MATCH(OFFSET($D$22,$Z7-1,$AE$4-1),生データ!$D:$D,1))=OFFSET($D$22,$Z7-1,$AE$4-1),decord_number(VLOOKUP(OFFSET($D$22,$Z7-1,$AE$4-1),生データ!$D:$O,COLUMN(K2),TRUE)),""),"")</f>
        <v/>
      </c>
      <c r="AJ7" s="28" t="str">
        <f ca="1">IFERROR(IF(INDEX(生データ!$D:$D,MATCH(OFFSET($D$22,$Z7-1,$AE$4-1),生データ!$D:$D,1))=OFFSET($D$22,$Z7-1,$AE$4-1),decord_number(VLOOKUP(OFFSET($D$22,$Z7-1,$AE$4-1),生データ!$D:$O,COLUMN(L2),TRUE)),""),"")</f>
        <v/>
      </c>
    </row>
    <row r="8" spans="1:36" ht="70.25" customHeight="1" x14ac:dyDescent="0.7">
      <c r="A8" s="12"/>
      <c r="B8" s="13">
        <v>5</v>
      </c>
      <c r="C8" s="42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2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2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2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1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1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41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28">
        <v>3</v>
      </c>
      <c r="AA8" s="28" t="str">
        <f ca="1">IFERROR(IF(INDEX(生データ!$D:$D,MATCH(OFFSET($D$22,$Z8-1,$AE$4-1),生データ!$D:$D,1))=OFFSET($D$22,$Z8-1,$AE$4-1),decord_number(VLOOKUP(OFFSET($D$22,$Z8-1,$AE$4-1),生データ!$D:$O,COLUMN(C3),TRUE)),""),"")</f>
        <v/>
      </c>
      <c r="AB8" s="28" t="str">
        <f ca="1">IFERROR(IF(INDEX(生データ!$D:$D,MATCH(OFFSET($D$22,$Z8-1,$AE$4-1),生データ!$D:$D,1))=OFFSET($D$22,$Z8-1,$AE$4-1),decord_number(VLOOKUP(OFFSET($D$22,$Z8-1,$AE$4-1),生データ!$D:$O,COLUMN(D3),TRUE)),""),"")</f>
        <v/>
      </c>
      <c r="AC8" s="28" t="str">
        <f ca="1">IFERROR(IF(INDEX(生データ!$D:$D,MATCH(OFFSET($D$22,$Z8-1,$AE$4-1),生データ!$D:$D,1))=OFFSET($D$22,$Z8-1,$AE$4-1),decord_number(VLOOKUP(OFFSET($D$22,$Z8-1,$AE$4-1),生データ!$D:$O,COLUMN(E3),TRUE)),""),"")</f>
        <v/>
      </c>
      <c r="AD8" s="28" t="str">
        <f ca="1">IFERROR(IF(INDEX(生データ!$D:$D,MATCH(OFFSET($D$22,$Z8-1,$AE$4-1),生データ!$D:$D,1))=OFFSET($D$22,$Z8-1,$AE$4-1),decord_number(VLOOKUP(OFFSET($D$22,$Z8-1,$AE$4-1),生データ!$D:$O,COLUMN(F3),TRUE)),""),"")</f>
        <v/>
      </c>
      <c r="AE8" s="28" t="str">
        <f ca="1">IFERROR(IF(INDEX(生データ!$D:$D,MATCH(OFFSET($D$22,$Z8-1,$AE$4-1),生データ!$D:$D,1))=OFFSET($D$22,$Z8-1,$AE$4-1),decord_number(VLOOKUP(OFFSET($D$22,$Z8-1,$AE$4-1),生データ!$D:$O,COLUMN(G3),TRUE)),""),"")</f>
        <v/>
      </c>
      <c r="AF8" s="28" t="str">
        <f ca="1">IFERROR(IF(INDEX(生データ!$D:$D,MATCH(OFFSET($D$22,$Z8-1,$AE$4-1),生データ!$D:$D,1))=OFFSET($D$22,$Z8-1,$AE$4-1),decord_number(VLOOKUP(OFFSET($D$22,$Z8-1,$AE$4-1),生データ!$D:$O,COLUMN(H3),TRUE)),""),"")</f>
        <v/>
      </c>
      <c r="AG8" s="28" t="str">
        <f ca="1">IFERROR(IF(INDEX(生データ!$D:$D,MATCH(OFFSET($D$22,$Z8-1,$AE$4-1),生データ!$D:$D,1))=OFFSET($D$22,$Z8-1,$AE$4-1),decord_number(VLOOKUP(OFFSET($D$22,$Z8-1,$AE$4-1),生データ!$D:$O,COLUMN(I3),TRUE)),""),"")</f>
        <v/>
      </c>
      <c r="AH8" s="28" t="str">
        <f ca="1">IFERROR(IF(INDEX(生データ!$D:$D,MATCH(OFFSET($D$22,$Z8-1,$AE$4-1),生データ!$D:$D,1))=OFFSET($D$22,$Z8-1,$AE$4-1),decord_number(VLOOKUP(OFFSET($D$22,$Z8-1,$AE$4-1),生データ!$D:$O,COLUMN(J3),TRUE)),""),"")</f>
        <v/>
      </c>
      <c r="AI8" s="28" t="str">
        <f ca="1">IFERROR(IF(INDEX(生データ!$D:$D,MATCH(OFFSET($D$22,$Z8-1,$AE$4-1),生データ!$D:$D,1))=OFFSET($D$22,$Z8-1,$AE$4-1),decord_number(VLOOKUP(OFFSET($D$22,$Z8-1,$AE$4-1),生データ!$D:$O,COLUMN(K3),TRUE)),""),"")</f>
        <v/>
      </c>
      <c r="AJ8" s="28" t="str">
        <f ca="1">IFERROR(IF(INDEX(生データ!$D:$D,MATCH(OFFSET($D$22,$Z8-1,$AE$4-1),生データ!$D:$D,1))=OFFSET($D$22,$Z8-1,$AE$4-1),decord_number(VLOOKUP(OFFSET($D$22,$Z8-1,$AE$4-1),生データ!$D:$O,COLUMN(L3),TRUE)),""),"")</f>
        <v/>
      </c>
    </row>
    <row r="9" spans="1:36" ht="20" customHeight="1" x14ac:dyDescent="0.7">
      <c r="Z9" s="28">
        <v>4</v>
      </c>
      <c r="AA9" s="28" t="str">
        <f ca="1">IFERROR(IF(INDEX(生データ!$D:$D,MATCH(OFFSET($D$22,$Z9-1,$AE$4-1),生データ!$D:$D,1))=OFFSET($D$22,$Z9-1,$AE$4-1),decord_number(VLOOKUP(OFFSET($D$22,$Z9-1,$AE$4-1),生データ!$D:$O,COLUMN(C4),TRUE)),""),"")</f>
        <v/>
      </c>
      <c r="AB9" s="28" t="str">
        <f ca="1">IFERROR(IF(INDEX(生データ!$D:$D,MATCH(OFFSET($D$22,$Z9-1,$AE$4-1),生データ!$D:$D,1))=OFFSET($D$22,$Z9-1,$AE$4-1),decord_number(VLOOKUP(OFFSET($D$22,$Z9-1,$AE$4-1),生データ!$D:$O,COLUMN(D4),TRUE)),""),"")</f>
        <v/>
      </c>
      <c r="AC9" s="28" t="str">
        <f ca="1">IFERROR(IF(INDEX(生データ!$D:$D,MATCH(OFFSET($D$22,$Z9-1,$AE$4-1),生データ!$D:$D,1))=OFFSET($D$22,$Z9-1,$AE$4-1),decord_number(VLOOKUP(OFFSET($D$22,$Z9-1,$AE$4-1),生データ!$D:$O,COLUMN(E4),TRUE)),""),"")</f>
        <v/>
      </c>
      <c r="AD9" s="28" t="str">
        <f ca="1">IFERROR(IF(INDEX(生データ!$D:$D,MATCH(OFFSET($D$22,$Z9-1,$AE$4-1),生データ!$D:$D,1))=OFFSET($D$22,$Z9-1,$AE$4-1),decord_number(VLOOKUP(OFFSET($D$22,$Z9-1,$AE$4-1),生データ!$D:$O,COLUMN(F4),TRUE)),""),"")</f>
        <v/>
      </c>
      <c r="AE9" s="28" t="str">
        <f ca="1">IFERROR(IF(INDEX(生データ!$D:$D,MATCH(OFFSET($D$22,$Z9-1,$AE$4-1),生データ!$D:$D,1))=OFFSET($D$22,$Z9-1,$AE$4-1),decord_number(VLOOKUP(OFFSET($D$22,$Z9-1,$AE$4-1),生データ!$D:$O,COLUMN(G4),TRUE)),""),"")</f>
        <v/>
      </c>
      <c r="AF9" s="28" t="str">
        <f ca="1">IFERROR(IF(INDEX(生データ!$D:$D,MATCH(OFFSET($D$22,$Z9-1,$AE$4-1),生データ!$D:$D,1))=OFFSET($D$22,$Z9-1,$AE$4-1),decord_number(VLOOKUP(OFFSET($D$22,$Z9-1,$AE$4-1),生データ!$D:$O,COLUMN(H4),TRUE)),""),"")</f>
        <v/>
      </c>
      <c r="AG9" s="28" t="str">
        <f ca="1">IFERROR(IF(INDEX(生データ!$D:$D,MATCH(OFFSET($D$22,$Z9-1,$AE$4-1),生データ!$D:$D,1))=OFFSET($D$22,$Z9-1,$AE$4-1),decord_number(VLOOKUP(OFFSET($D$22,$Z9-1,$AE$4-1),生データ!$D:$O,COLUMN(I4),TRUE)),""),"")</f>
        <v/>
      </c>
      <c r="AH9" s="28" t="str">
        <f ca="1">IFERROR(IF(INDEX(生データ!$D:$D,MATCH(OFFSET($D$22,$Z9-1,$AE$4-1),生データ!$D:$D,1))=OFFSET($D$22,$Z9-1,$AE$4-1),decord_number(VLOOKUP(OFFSET($D$22,$Z9-1,$AE$4-1),生データ!$D:$O,COLUMN(J4),TRUE)),""),"")</f>
        <v/>
      </c>
      <c r="AI9" s="28" t="str">
        <f ca="1">IFERROR(IF(INDEX(生データ!$D:$D,MATCH(OFFSET($D$22,$Z9-1,$AE$4-1),生データ!$D:$D,1))=OFFSET($D$22,$Z9-1,$AE$4-1),decord_number(VLOOKUP(OFFSET($D$22,$Z9-1,$AE$4-1),生データ!$D:$O,COLUMN(K4),TRUE)),""),"")</f>
        <v/>
      </c>
      <c r="AJ9" s="28" t="str">
        <f ca="1">IFERROR(IF(INDEX(生データ!$D:$D,MATCH(OFFSET($D$22,$Z9-1,$AE$4-1),生データ!$D:$D,1))=OFFSET($D$22,$Z9-1,$AE$4-1),decord_number(VLOOKUP(OFFSET($D$22,$Z9-1,$AE$4-1),生データ!$D:$O,COLUMN(L4),TRUE)),""),"")</f>
        <v/>
      </c>
    </row>
    <row r="10" spans="1:36" ht="30" customHeight="1" x14ac:dyDescent="0.7">
      <c r="C10" s="27" t="s">
        <v>67</v>
      </c>
      <c r="Z10" s="28">
        <v>5</v>
      </c>
      <c r="AA10" s="28" t="str">
        <f ca="1">IFERROR(IF(INDEX(生データ!$D:$D,MATCH(OFFSET($D$22,$Z10-1,$AE$4-1),生データ!$D:$D,1))=OFFSET($D$22,$Z10-1,$AE$4-1),decord_number(VLOOKUP(OFFSET($D$22,$Z10-1,$AE$4-1),生データ!$D:$O,COLUMN(C5),TRUE)),""),"")</f>
        <v/>
      </c>
      <c r="AB10" s="28" t="str">
        <f ca="1">IFERROR(IF(INDEX(生データ!$D:$D,MATCH(OFFSET($D$22,$Z10-1,$AE$4-1),生データ!$D:$D,1))=OFFSET($D$22,$Z10-1,$AE$4-1),decord_number(VLOOKUP(OFFSET($D$22,$Z10-1,$AE$4-1),生データ!$D:$O,COLUMN(D5),TRUE)),""),"")</f>
        <v/>
      </c>
      <c r="AC10" s="28" t="str">
        <f ca="1">IFERROR(IF(INDEX(生データ!$D:$D,MATCH(OFFSET($D$22,$Z10-1,$AE$4-1),生データ!$D:$D,1))=OFFSET($D$22,$Z10-1,$AE$4-1),decord_number(VLOOKUP(OFFSET($D$22,$Z10-1,$AE$4-1),生データ!$D:$O,COLUMN(E5),TRUE)),""),"")</f>
        <v/>
      </c>
      <c r="AD10" s="28" t="str">
        <f ca="1">IFERROR(IF(INDEX(生データ!$D:$D,MATCH(OFFSET($D$22,$Z10-1,$AE$4-1),生データ!$D:$D,1))=OFFSET($D$22,$Z10-1,$AE$4-1),decord_number(VLOOKUP(OFFSET($D$22,$Z10-1,$AE$4-1),生データ!$D:$O,COLUMN(F5),TRUE)),""),"")</f>
        <v/>
      </c>
      <c r="AE10" s="28" t="str">
        <f ca="1">IFERROR(IF(INDEX(生データ!$D:$D,MATCH(OFFSET($D$22,$Z10-1,$AE$4-1),生データ!$D:$D,1))=OFFSET($D$22,$Z10-1,$AE$4-1),decord_number(VLOOKUP(OFFSET($D$22,$Z10-1,$AE$4-1),生データ!$D:$O,COLUMN(G5),TRUE)),""),"")</f>
        <v/>
      </c>
      <c r="AF10" s="28" t="str">
        <f ca="1">IFERROR(IF(INDEX(生データ!$D:$D,MATCH(OFFSET($D$22,$Z10-1,$AE$4-1),生データ!$D:$D,1))=OFFSET($D$22,$Z10-1,$AE$4-1),decord_number(VLOOKUP(OFFSET($D$22,$Z10-1,$AE$4-1),生データ!$D:$O,COLUMN(H5),TRUE)),""),"")</f>
        <v/>
      </c>
      <c r="AG10" s="28" t="str">
        <f ca="1">IFERROR(IF(INDEX(生データ!$D:$D,MATCH(OFFSET($D$22,$Z10-1,$AE$4-1),生データ!$D:$D,1))=OFFSET($D$22,$Z10-1,$AE$4-1),decord_number(VLOOKUP(OFFSET($D$22,$Z10-1,$AE$4-1),生データ!$D:$O,COLUMN(I5),TRUE)),""),"")</f>
        <v/>
      </c>
      <c r="AH10" s="28" t="str">
        <f ca="1">IFERROR(IF(INDEX(生データ!$D:$D,MATCH(OFFSET($D$22,$Z10-1,$AE$4-1),生データ!$D:$D,1))=OFFSET($D$22,$Z10-1,$AE$4-1),decord_number(VLOOKUP(OFFSET($D$22,$Z10-1,$AE$4-1),生データ!$D:$O,COLUMN(J5),TRUE)),""),"")</f>
        <v/>
      </c>
      <c r="AI10" s="28" t="str">
        <f ca="1">IFERROR(IF(INDEX(生データ!$D:$D,MATCH(OFFSET($D$22,$Z10-1,$AE$4-1),生データ!$D:$D,1))=OFFSET($D$22,$Z10-1,$AE$4-1),decord_number(VLOOKUP(OFFSET($D$22,$Z10-1,$AE$4-1),生データ!$D:$O,COLUMN(K5),TRUE)),""),"")</f>
        <v/>
      </c>
      <c r="AJ10" s="28" t="str">
        <f ca="1">IFERROR(IF(INDEX(生データ!$D:$D,MATCH(OFFSET($D$22,$Z10-1,$AE$4-1),生データ!$D:$D,1))=OFFSET($D$22,$Z10-1,$AE$4-1),decord_number(VLOOKUP(OFFSET($D$22,$Z10-1,$AE$4-1),生データ!$D:$O,COLUMN(L5),TRUE)),""),"")</f>
        <v/>
      </c>
    </row>
    <row r="11" spans="1:36" ht="30" customHeight="1" x14ac:dyDescent="0.7">
      <c r="C11" s="16" t="s">
        <v>66</v>
      </c>
    </row>
    <row r="12" spans="1:36" ht="30" customHeight="1" x14ac:dyDescent="0.7">
      <c r="C12" s="16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 x14ac:dyDescent="0.7">
      <c r="C13" s="16" t="str">
        <f>IF($T$16="on","現在、混雑のため現在のコマのみ予約可能です","")</f>
        <v/>
      </c>
      <c r="H13" s="1"/>
      <c r="P13" s="30" t="s">
        <v>95</v>
      </c>
      <c r="Q13" s="30"/>
      <c r="R13" s="32"/>
      <c r="T13" t="s">
        <v>89</v>
      </c>
    </row>
    <row r="14" spans="1:36" ht="30" customHeight="1" x14ac:dyDescent="0.7">
      <c r="H14" s="1"/>
      <c r="T14" s="28">
        <v>2</v>
      </c>
      <c r="U14" s="30"/>
      <c r="V14" s="31" t="s">
        <v>68</v>
      </c>
      <c r="W14" s="31"/>
      <c r="X14" s="32"/>
    </row>
    <row r="15" spans="1:36" ht="30" customHeight="1" x14ac:dyDescent="0.7">
      <c r="B15" s="3"/>
      <c r="T15" s="38"/>
      <c r="U15" s="34"/>
      <c r="V15" s="34"/>
      <c r="W15" s="34"/>
      <c r="X15" s="35"/>
    </row>
    <row r="16" spans="1:36" ht="29.55" customHeight="1" x14ac:dyDescent="0.7">
      <c r="T16" s="39" t="s">
        <v>64</v>
      </c>
      <c r="U16" s="36"/>
      <c r="V16" s="36"/>
      <c r="W16" s="36"/>
      <c r="X16" s="37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20200115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2020011511</v>
      </c>
      <c r="E22" s="3">
        <f t="shared" ref="E22:J22" ca="1" si="0">$C$21*100+E$21*10+$C22</f>
        <v>2020011521</v>
      </c>
      <c r="F22" s="3">
        <f t="shared" ca="1" si="0"/>
        <v>2020011531</v>
      </c>
      <c r="G22" s="3">
        <f t="shared" ca="1" si="0"/>
        <v>2020011541</v>
      </c>
      <c r="H22" s="3">
        <f t="shared" ca="1" si="0"/>
        <v>2020011551</v>
      </c>
      <c r="I22" s="3">
        <f t="shared" ca="1" si="0"/>
        <v>2020011561</v>
      </c>
      <c r="J22" s="3">
        <f t="shared" ca="1" si="0"/>
        <v>2020011571</v>
      </c>
    </row>
    <row r="23" spans="3:10" hidden="1" x14ac:dyDescent="0.7">
      <c r="C23" s="3">
        <v>2</v>
      </c>
      <c r="D23" s="3">
        <f t="shared" ref="D23:J26" ca="1" si="1">$C$21*100+D$21*10+$C23</f>
        <v>2020011512</v>
      </c>
      <c r="E23" s="3">
        <f t="shared" ca="1" si="1"/>
        <v>2020011522</v>
      </c>
      <c r="F23" s="3">
        <f t="shared" ca="1" si="1"/>
        <v>2020011532</v>
      </c>
      <c r="G23" s="3">
        <f t="shared" ca="1" si="1"/>
        <v>2020011542</v>
      </c>
      <c r="H23" s="3">
        <f t="shared" ca="1" si="1"/>
        <v>2020011552</v>
      </c>
      <c r="I23" s="3">
        <f t="shared" ca="1" si="1"/>
        <v>2020011562</v>
      </c>
      <c r="J23" s="3">
        <f t="shared" ca="1" si="1"/>
        <v>2020011572</v>
      </c>
    </row>
    <row r="24" spans="3:10" hidden="1" x14ac:dyDescent="0.7">
      <c r="C24" s="3">
        <v>3</v>
      </c>
      <c r="D24" s="3">
        <f t="shared" ca="1" si="1"/>
        <v>2020011513</v>
      </c>
      <c r="E24" s="3">
        <f t="shared" ca="1" si="1"/>
        <v>2020011523</v>
      </c>
      <c r="F24" s="3">
        <f t="shared" ca="1" si="1"/>
        <v>2020011533</v>
      </c>
      <c r="G24" s="3">
        <f t="shared" ca="1" si="1"/>
        <v>2020011543</v>
      </c>
      <c r="H24" s="3">
        <f t="shared" ca="1" si="1"/>
        <v>2020011553</v>
      </c>
      <c r="I24" s="3">
        <f t="shared" ca="1" si="1"/>
        <v>2020011563</v>
      </c>
      <c r="J24" s="3">
        <f t="shared" ca="1" si="1"/>
        <v>2020011573</v>
      </c>
    </row>
    <row r="25" spans="3:10" hidden="1" x14ac:dyDescent="0.7">
      <c r="C25" s="3">
        <v>4</v>
      </c>
      <c r="D25" s="3">
        <f t="shared" ca="1" si="1"/>
        <v>2020011514</v>
      </c>
      <c r="E25" s="3">
        <f t="shared" ca="1" si="1"/>
        <v>2020011524</v>
      </c>
      <c r="F25" s="3">
        <f t="shared" ca="1" si="1"/>
        <v>2020011534</v>
      </c>
      <c r="G25" s="3">
        <f t="shared" ca="1" si="1"/>
        <v>2020011544</v>
      </c>
      <c r="H25" s="3">
        <f t="shared" ca="1" si="1"/>
        <v>2020011554</v>
      </c>
      <c r="I25" s="3">
        <f t="shared" ca="1" si="1"/>
        <v>2020011564</v>
      </c>
      <c r="J25" s="3">
        <f t="shared" ca="1" si="1"/>
        <v>2020011574</v>
      </c>
    </row>
    <row r="26" spans="3:10" hidden="1" x14ac:dyDescent="0.7">
      <c r="C26" s="3">
        <v>5</v>
      </c>
      <c r="D26" s="3">
        <f t="shared" ca="1" si="1"/>
        <v>2020011515</v>
      </c>
      <c r="E26" s="3">
        <f t="shared" ca="1" si="1"/>
        <v>2020011525</v>
      </c>
      <c r="F26" s="3">
        <f t="shared" ca="1" si="1"/>
        <v>2020011535</v>
      </c>
      <c r="G26" s="3">
        <f t="shared" ca="1" si="1"/>
        <v>2020011545</v>
      </c>
      <c r="H26" s="3">
        <f t="shared" ca="1" si="1"/>
        <v>2020011555</v>
      </c>
      <c r="I26" s="3">
        <f t="shared" ca="1" si="1"/>
        <v>2020011565</v>
      </c>
      <c r="J26" s="3">
        <f t="shared" ca="1" si="1"/>
        <v>2020011575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585788</xdr:colOff>
                    <xdr:row>6</xdr:row>
                    <xdr:rowOff>433388</xdr:rowOff>
                  </from>
                  <to>
                    <xdr:col>18</xdr:col>
                    <xdr:colOff>328613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166688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609600</xdr:colOff>
                    <xdr:row>3</xdr:row>
                    <xdr:rowOff>61913</xdr:rowOff>
                  </from>
                  <to>
                    <xdr:col>18</xdr:col>
                    <xdr:colOff>290513</xdr:colOff>
                    <xdr:row>4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138113</xdr:rowOff>
                  </from>
                  <to>
                    <xdr:col>23</xdr:col>
                    <xdr:colOff>547688</xdr:colOff>
                    <xdr:row>4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609600</xdr:colOff>
                    <xdr:row>7</xdr:row>
                    <xdr:rowOff>571500</xdr:rowOff>
                  </from>
                  <to>
                    <xdr:col>18</xdr:col>
                    <xdr:colOff>319088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23813</xdr:rowOff>
                  </from>
                  <to>
                    <xdr:col>24</xdr:col>
                    <xdr:colOff>495300</xdr:colOff>
                    <xdr:row>19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571500</xdr:colOff>
                    <xdr:row>5</xdr:row>
                    <xdr:rowOff>366713</xdr:rowOff>
                  </from>
                  <to>
                    <xdr:col>18</xdr:col>
                    <xdr:colOff>319088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90488</xdr:rowOff>
                  </from>
                  <to>
                    <xdr:col>23</xdr:col>
                    <xdr:colOff>571500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38100</xdr:rowOff>
                  </from>
                  <to>
                    <xdr:col>15</xdr:col>
                    <xdr:colOff>138113</xdr:colOff>
                    <xdr:row>3</xdr:row>
                    <xdr:rowOff>433388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23813</xdr:colOff>
                    <xdr:row>3</xdr:row>
                    <xdr:rowOff>571500</xdr:rowOff>
                  </from>
                  <to>
                    <xdr:col>15</xdr:col>
                    <xdr:colOff>204788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14288</xdr:colOff>
                    <xdr:row>4</xdr:row>
                    <xdr:rowOff>190500</xdr:rowOff>
                  </from>
                  <to>
                    <xdr:col>15</xdr:col>
                    <xdr:colOff>204788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23813</xdr:colOff>
                    <xdr:row>4</xdr:row>
                    <xdr:rowOff>738188</xdr:rowOff>
                  </from>
                  <to>
                    <xdr:col>15</xdr:col>
                    <xdr:colOff>190500</xdr:colOff>
                    <xdr:row>5</xdr:row>
                    <xdr:rowOff>242888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357188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762000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23813</xdr:colOff>
                    <xdr:row>6</xdr:row>
                    <xdr:rowOff>319088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1014413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14288</xdr:colOff>
                    <xdr:row>8</xdr:row>
                    <xdr:rowOff>152400</xdr:rowOff>
                  </from>
                  <to>
                    <xdr:col>15</xdr:col>
                    <xdr:colOff>166688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990600</xdr:colOff>
                    <xdr:row>11</xdr:row>
                    <xdr:rowOff>328613</xdr:rowOff>
                  </from>
                  <to>
                    <xdr:col>14</xdr:col>
                    <xdr:colOff>557213</xdr:colOff>
                    <xdr:row>12</xdr:row>
                    <xdr:rowOff>290513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228600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14</xdr:col>
                    <xdr:colOff>557213</xdr:colOff>
                    <xdr:row>13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138113</xdr:rowOff>
                  </from>
                  <to>
                    <xdr:col>18</xdr:col>
                    <xdr:colOff>280988</xdr:colOff>
                    <xdr:row>4</xdr:row>
                    <xdr:rowOff>890588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61913</xdr:rowOff>
                  </from>
                  <to>
                    <xdr:col>23</xdr:col>
                    <xdr:colOff>495300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990600</xdr:colOff>
                    <xdr:row>14</xdr:row>
                    <xdr:rowOff>138113</xdr:rowOff>
                  </from>
                  <to>
                    <xdr:col>14</xdr:col>
                    <xdr:colOff>547688</xdr:colOff>
                    <xdr:row>15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27" name="Button 781">
              <controlPr defaultSize="0" print="0" autoFill="0" autoPict="0" macro="[0]!if_save">
                <anchor moveWithCells="1" sizeWithCells="1">
                  <from>
                    <xdr:col>16</xdr:col>
                    <xdr:colOff>61913</xdr:colOff>
                    <xdr:row>12</xdr:row>
                    <xdr:rowOff>23813</xdr:rowOff>
                  </from>
                  <to>
                    <xdr:col>17</xdr:col>
                    <xdr:colOff>661988</xdr:colOff>
                    <xdr:row>12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5" r:id="rId28" name="Button 787">
              <controlPr defaultSize="0" print="0" autoFill="0" autoPict="0" macro="[0]!export_date">
                <anchor moveWithCells="1" sizeWithCells="1">
                  <from>
                    <xdr:col>15</xdr:col>
                    <xdr:colOff>152400</xdr:colOff>
                    <xdr:row>14</xdr:row>
                    <xdr:rowOff>176213</xdr:rowOff>
                  </from>
                  <to>
                    <xdr:col>17</xdr:col>
                    <xdr:colOff>666750</xdr:colOff>
                    <xdr:row>15</xdr:row>
                    <xdr:rowOff>338138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7"/>
  <sheetViews>
    <sheetView showGridLines="0" zoomScaleNormal="100" workbookViewId="0">
      <selection activeCell="H5" sqref="H5"/>
    </sheetView>
  </sheetViews>
  <sheetFormatPr defaultColWidth="8.8125" defaultRowHeight="17.649999999999999" x14ac:dyDescent="0.7"/>
  <cols>
    <col min="2" max="2" width="40.6875" customWidth="1"/>
  </cols>
  <sheetData>
    <row r="1" spans="1:1" ht="180" customHeight="1" x14ac:dyDescent="0.7">
      <c r="A1">
        <v>0</v>
      </c>
    </row>
    <row r="2" spans="1:1" ht="180" customHeight="1" x14ac:dyDescent="0.7">
      <c r="A2">
        <v>1</v>
      </c>
    </row>
    <row r="3" spans="1:1" ht="180" customHeight="1" x14ac:dyDescent="0.7">
      <c r="A3">
        <v>2</v>
      </c>
    </row>
    <row r="4" spans="1:1" ht="180" customHeight="1" x14ac:dyDescent="0.7">
      <c r="A4">
        <v>3</v>
      </c>
    </row>
    <row r="5" spans="1:1" ht="180" customHeight="1" x14ac:dyDescent="0.7">
      <c r="A5">
        <v>4</v>
      </c>
    </row>
    <row r="6" spans="1:1" ht="180" customHeight="1" x14ac:dyDescent="0.7">
      <c r="A6">
        <v>6</v>
      </c>
    </row>
    <row r="7" spans="1:1" ht="180" customHeight="1" x14ac:dyDescent="0.7">
      <c r="A7">
        <v>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F25" sqref="F25"/>
    </sheetView>
  </sheetViews>
  <sheetFormatPr defaultColWidth="8.8125" defaultRowHeight="17.649999999999999" x14ac:dyDescent="0.7"/>
  <cols>
    <col min="4" max="4" width="13.1875" customWidth="1"/>
    <col min="5" max="5" width="67" customWidth="1"/>
    <col min="6" max="6" width="98.3125" customWidth="1"/>
    <col min="7" max="7" width="15.687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0" customFormat="1" x14ac:dyDescent="0.7">
      <c r="A2" s="20">
        <v>1</v>
      </c>
      <c r="B2" s="20" t="s">
        <v>91</v>
      </c>
      <c r="C2" s="20" t="s">
        <v>91</v>
      </c>
      <c r="D2" s="20" t="s">
        <v>91</v>
      </c>
      <c r="E2" s="20" t="s">
        <v>92</v>
      </c>
      <c r="F2" s="20" t="s">
        <v>93</v>
      </c>
    </row>
    <row r="3" spans="1:12" x14ac:dyDescent="0.7">
      <c r="A3" s="20">
        <v>2</v>
      </c>
      <c r="B3" s="20" t="s">
        <v>91</v>
      </c>
      <c r="C3" s="20" t="s">
        <v>91</v>
      </c>
      <c r="D3" s="20" t="s">
        <v>91</v>
      </c>
      <c r="E3" s="20" t="s">
        <v>92</v>
      </c>
      <c r="F3" s="20" t="s">
        <v>93</v>
      </c>
      <c r="G3" s="20"/>
      <c r="H3" s="20"/>
      <c r="I3" s="20"/>
      <c r="J3" s="20"/>
      <c r="K3" s="20"/>
      <c r="L3" s="20"/>
    </row>
    <row r="4" spans="1:12" x14ac:dyDescent="0.7">
      <c r="A4" s="20">
        <v>3</v>
      </c>
      <c r="B4" s="20" t="s">
        <v>91</v>
      </c>
      <c r="C4" s="20" t="s">
        <v>91</v>
      </c>
      <c r="D4" s="20" t="s">
        <v>91</v>
      </c>
      <c r="E4" s="20" t="s">
        <v>92</v>
      </c>
      <c r="F4" s="20" t="s">
        <v>93</v>
      </c>
      <c r="G4" s="20"/>
      <c r="H4" s="20"/>
      <c r="I4" s="20"/>
      <c r="J4" s="20"/>
      <c r="K4" s="20"/>
      <c r="L4" s="20"/>
    </row>
    <row r="5" spans="1:12" x14ac:dyDescent="0.7">
      <c r="A5" s="20">
        <v>4</v>
      </c>
      <c r="B5" s="20" t="s">
        <v>91</v>
      </c>
      <c r="C5" s="20" t="s">
        <v>91</v>
      </c>
      <c r="D5" s="20" t="s">
        <v>91</v>
      </c>
      <c r="E5" s="20" t="s">
        <v>92</v>
      </c>
      <c r="F5" s="20" t="s">
        <v>93</v>
      </c>
      <c r="G5" s="20"/>
      <c r="H5" s="20"/>
      <c r="I5" s="20"/>
      <c r="J5" s="20"/>
      <c r="K5" s="20"/>
      <c r="L5" s="20"/>
    </row>
    <row r="6" spans="1:12" x14ac:dyDescent="0.7">
      <c r="A6" s="20">
        <v>6</v>
      </c>
      <c r="B6" s="20" t="s">
        <v>91</v>
      </c>
      <c r="C6" s="20" t="s">
        <v>91</v>
      </c>
      <c r="D6" s="20" t="s">
        <v>91</v>
      </c>
      <c r="E6" s="20" t="s">
        <v>92</v>
      </c>
      <c r="F6" s="20" t="s">
        <v>93</v>
      </c>
      <c r="G6" s="20"/>
      <c r="H6" s="20"/>
      <c r="I6" s="20"/>
      <c r="J6" s="20"/>
      <c r="K6" s="20"/>
      <c r="L6" s="20"/>
    </row>
    <row r="7" spans="1:12" x14ac:dyDescent="0.7">
      <c r="A7" s="20">
        <v>7</v>
      </c>
      <c r="B7" s="20" t="s">
        <v>91</v>
      </c>
      <c r="C7" s="20" t="s">
        <v>91</v>
      </c>
      <c r="D7" s="20" t="s">
        <v>91</v>
      </c>
      <c r="E7" s="20" t="s">
        <v>92</v>
      </c>
      <c r="F7" s="20" t="s">
        <v>93</v>
      </c>
      <c r="G7" s="20"/>
      <c r="H7" s="20"/>
      <c r="I7" s="20"/>
      <c r="J7" s="20"/>
      <c r="K7" s="20"/>
      <c r="L7" s="20"/>
    </row>
    <row r="8" spans="1:12" x14ac:dyDescent="0.7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</row>
    <row r="9" spans="1:12" x14ac:dyDescent="0.7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</row>
    <row r="10" spans="1:12" x14ac:dyDescent="0.7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7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7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7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</row>
    <row r="14" spans="1:12" x14ac:dyDescent="0.7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</row>
    <row r="15" spans="1:12" x14ac:dyDescent="0.7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</row>
    <row r="16" spans="1:12" x14ac:dyDescent="0.7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</row>
    <row r="17" spans="1:12" x14ac:dyDescent="0.7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138113</xdr:rowOff>
                  </from>
                  <to>
                    <xdr:col>8</xdr:col>
                    <xdr:colOff>585788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33"/>
  <sheetViews>
    <sheetView tabSelected="1" workbookViewId="0">
      <pane ySplit="1" topLeftCell="A2" activePane="bottomLeft" state="frozen"/>
      <selection pane="bottomLeft" activeCell="C37" sqref="C37"/>
    </sheetView>
  </sheetViews>
  <sheetFormatPr defaultColWidth="8.8125" defaultRowHeight="17.649999999999999" x14ac:dyDescent="0.7"/>
  <cols>
    <col min="1" max="1" width="14.3125" customWidth="1"/>
    <col min="4" max="4" width="12.6875" customWidth="1"/>
    <col min="6" max="6" width="19.6875" style="2" customWidth="1"/>
    <col min="7" max="16" width="10.6875" style="2" customWidth="1"/>
    <col min="17" max="35" width="8.8125" style="2"/>
  </cols>
  <sheetData>
    <row r="1" spans="1:1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15" s="20" customFormat="1" x14ac:dyDescent="0.7">
      <c r="A2" s="20">
        <v>20191109</v>
      </c>
      <c r="B2" s="20">
        <v>4</v>
      </c>
      <c r="C2" s="20">
        <v>1</v>
      </c>
      <c r="D2" s="20">
        <v>2019110941</v>
      </c>
      <c r="E2" s="20">
        <v>0</v>
      </c>
      <c r="F2" s="20">
        <v>342599567</v>
      </c>
    </row>
    <row r="3" spans="1:15" s="20" customFormat="1" x14ac:dyDescent="0.7">
      <c r="A3" s="20">
        <v>20191109</v>
      </c>
      <c r="B3" s="20">
        <v>4</v>
      </c>
      <c r="C3" s="20">
        <v>2</v>
      </c>
      <c r="D3" s="20">
        <v>2019110942</v>
      </c>
      <c r="E3" s="20">
        <v>1</v>
      </c>
      <c r="F3" s="20">
        <v>122599111</v>
      </c>
    </row>
    <row r="4" spans="1:15" s="20" customFormat="1" x14ac:dyDescent="0.7">
      <c r="A4" s="20">
        <v>20191109</v>
      </c>
      <c r="B4" s="20">
        <v>4</v>
      </c>
      <c r="C4" s="20">
        <v>3</v>
      </c>
      <c r="D4" s="20">
        <v>2019110943</v>
      </c>
      <c r="E4" s="20">
        <v>0</v>
      </c>
      <c r="F4" s="20">
        <v>342599567</v>
      </c>
    </row>
    <row r="5" spans="1:15" s="20" customFormat="1" x14ac:dyDescent="0.7">
      <c r="A5" s="20">
        <v>20191109</v>
      </c>
      <c r="B5" s="20">
        <v>5</v>
      </c>
      <c r="C5" s="20">
        <v>1</v>
      </c>
      <c r="D5" s="20">
        <v>2019110951</v>
      </c>
      <c r="E5" s="20">
        <v>0</v>
      </c>
      <c r="F5" s="20">
        <v>452599678</v>
      </c>
      <c r="G5" s="20">
        <v>122521222</v>
      </c>
    </row>
    <row r="6" spans="1:15" s="20" customFormat="1" x14ac:dyDescent="0.7">
      <c r="A6" s="20">
        <v>20191109</v>
      </c>
      <c r="B6" s="20">
        <v>5</v>
      </c>
      <c r="C6" s="20">
        <v>3</v>
      </c>
      <c r="D6" s="20">
        <v>2019110953</v>
      </c>
      <c r="E6" s="20">
        <v>0</v>
      </c>
      <c r="F6" s="20">
        <v>132599444</v>
      </c>
    </row>
    <row r="7" spans="1:15" s="20" customFormat="1" x14ac:dyDescent="0.7">
      <c r="A7" s="20">
        <v>20191109</v>
      </c>
      <c r="B7" s="20">
        <v>6</v>
      </c>
      <c r="C7" s="20">
        <v>1</v>
      </c>
      <c r="D7" s="20">
        <v>2019110961</v>
      </c>
      <c r="E7" s="20">
        <v>0</v>
      </c>
      <c r="F7" s="20">
        <v>412599234</v>
      </c>
    </row>
    <row r="8" spans="1:15" s="20" customFormat="1" x14ac:dyDescent="0.7">
      <c r="A8" s="20">
        <v>20191109</v>
      </c>
      <c r="B8" s="20">
        <v>6</v>
      </c>
      <c r="C8" s="20">
        <v>2</v>
      </c>
      <c r="D8" s="20">
        <v>2019110962</v>
      </c>
      <c r="E8" s="20">
        <v>1</v>
      </c>
      <c r="F8" s="20">
        <v>562599666</v>
      </c>
    </row>
    <row r="9" spans="1:15" s="20" customFormat="1" x14ac:dyDescent="0.7">
      <c r="A9" s="20">
        <v>20191109</v>
      </c>
      <c r="B9" s="20">
        <v>7</v>
      </c>
      <c r="C9" s="20">
        <v>1</v>
      </c>
      <c r="D9" s="20">
        <v>2019110971</v>
      </c>
      <c r="E9" s="20">
        <v>1</v>
      </c>
      <c r="F9" s="20">
        <v>312599234</v>
      </c>
    </row>
    <row r="10" spans="1:15" s="20" customFormat="1" x14ac:dyDescent="0.7">
      <c r="A10" s="20">
        <v>20191109</v>
      </c>
      <c r="B10" s="20">
        <v>7</v>
      </c>
      <c r="C10" s="20">
        <v>2</v>
      </c>
      <c r="D10" s="20">
        <v>2019110972</v>
      </c>
      <c r="E10" s="20">
        <v>0</v>
      </c>
      <c r="F10" s="20">
        <v>452599634</v>
      </c>
    </row>
    <row r="11" spans="1:15" s="20" customFormat="1" x14ac:dyDescent="0.7">
      <c r="A11" s="20">
        <v>20191110</v>
      </c>
      <c r="B11" s="20">
        <v>2</v>
      </c>
      <c r="C11" s="20">
        <v>1</v>
      </c>
      <c r="D11" s="20">
        <v>2019111021</v>
      </c>
      <c r="E11" s="20">
        <v>0</v>
      </c>
      <c r="F11" s="20">
        <v>222599222</v>
      </c>
    </row>
    <row r="12" spans="1:15" s="20" customFormat="1" x14ac:dyDescent="0.7">
      <c r="A12" s="20">
        <v>20200113</v>
      </c>
      <c r="B12" s="20">
        <v>2</v>
      </c>
      <c r="C12" s="20">
        <v>2</v>
      </c>
      <c r="D12" s="20">
        <v>2020011322</v>
      </c>
      <c r="E12" s="20">
        <v>0</v>
      </c>
      <c r="F12" s="20">
        <v>342599567</v>
      </c>
    </row>
    <row r="13" spans="1:15" s="20" customFormat="1" x14ac:dyDescent="0.7">
      <c r="A13" s="20">
        <v>20200113</v>
      </c>
      <c r="B13" s="20">
        <v>3</v>
      </c>
      <c r="C13" s="20">
        <v>1</v>
      </c>
      <c r="D13" s="20">
        <v>2020011331</v>
      </c>
      <c r="E13" s="20">
        <v>0</v>
      </c>
      <c r="F13" s="20">
        <v>172501004</v>
      </c>
      <c r="G13" s="20">
        <v>172501002</v>
      </c>
    </row>
    <row r="14" spans="1:15" s="20" customFormat="1" x14ac:dyDescent="0.7">
      <c r="A14" s="20">
        <v>20200113</v>
      </c>
      <c r="B14" s="20">
        <v>3</v>
      </c>
      <c r="C14" s="20">
        <v>2</v>
      </c>
      <c r="D14" s="20">
        <v>2020011332</v>
      </c>
      <c r="E14" s="20">
        <v>0</v>
      </c>
      <c r="F14" s="20">
        <v>182507004</v>
      </c>
    </row>
    <row r="15" spans="1:15" s="20" customFormat="1" x14ac:dyDescent="0.7">
      <c r="A15" s="20">
        <v>20200113</v>
      </c>
      <c r="B15" s="20">
        <v>3</v>
      </c>
      <c r="C15" s="20">
        <v>3</v>
      </c>
      <c r="D15" s="20">
        <v>2020011333</v>
      </c>
      <c r="E15" s="20">
        <v>0</v>
      </c>
      <c r="F15" s="20">
        <v>342599567</v>
      </c>
    </row>
    <row r="16" spans="1:15" s="20" customFormat="1" x14ac:dyDescent="0.7">
      <c r="A16" s="20">
        <v>20200113</v>
      </c>
      <c r="B16" s="20">
        <v>3</v>
      </c>
      <c r="C16" s="20">
        <v>5</v>
      </c>
      <c r="D16" s="20">
        <v>2020011335</v>
      </c>
      <c r="E16" s="20">
        <v>0</v>
      </c>
      <c r="F16" s="20">
        <v>182504003</v>
      </c>
    </row>
    <row r="17" spans="1:7" s="20" customFormat="1" x14ac:dyDescent="0.7">
      <c r="A17" s="20">
        <v>20200113</v>
      </c>
      <c r="B17" s="20">
        <v>4</v>
      </c>
      <c r="C17" s="20">
        <v>1</v>
      </c>
      <c r="D17" s="20">
        <v>2020011341</v>
      </c>
      <c r="E17" s="20">
        <v>0</v>
      </c>
      <c r="F17" s="20">
        <v>182505003</v>
      </c>
      <c r="G17" s="20">
        <v>182505002</v>
      </c>
    </row>
    <row r="18" spans="1:7" s="20" customFormat="1" x14ac:dyDescent="0.7">
      <c r="A18" s="20">
        <v>20200113</v>
      </c>
      <c r="B18" s="20">
        <v>4</v>
      </c>
      <c r="C18" s="20">
        <v>2</v>
      </c>
      <c r="D18" s="20">
        <v>2020011342</v>
      </c>
      <c r="E18" s="20">
        <v>0</v>
      </c>
      <c r="F18" s="20">
        <v>192504003</v>
      </c>
      <c r="G18" s="20">
        <v>192504003</v>
      </c>
    </row>
    <row r="19" spans="1:7" s="20" customFormat="1" x14ac:dyDescent="0.7">
      <c r="A19" s="20">
        <v>20200113</v>
      </c>
      <c r="B19" s="20">
        <v>4</v>
      </c>
      <c r="C19" s="20">
        <v>4</v>
      </c>
      <c r="D19" s="20">
        <v>2020011344</v>
      </c>
      <c r="E19" s="20">
        <v>0</v>
      </c>
      <c r="F19" s="20">
        <v>452599678</v>
      </c>
    </row>
    <row r="20" spans="1:7" s="20" customFormat="1" x14ac:dyDescent="0.7">
      <c r="A20" s="20">
        <v>20200113</v>
      </c>
      <c r="B20" s="20">
        <v>5</v>
      </c>
      <c r="C20" s="20">
        <v>3</v>
      </c>
      <c r="D20" s="20">
        <v>2020011353</v>
      </c>
      <c r="E20" s="20">
        <v>0</v>
      </c>
      <c r="F20" s="20">
        <v>452599678</v>
      </c>
    </row>
    <row r="21" spans="1:7" s="20" customFormat="1" x14ac:dyDescent="0.7">
      <c r="A21" s="20">
        <v>20200113</v>
      </c>
      <c r="B21" s="20">
        <v>6</v>
      </c>
      <c r="C21" s="20">
        <v>3</v>
      </c>
      <c r="D21" s="20">
        <v>2020011363</v>
      </c>
      <c r="E21" s="20">
        <v>0</v>
      </c>
      <c r="F21" s="20">
        <v>452599678</v>
      </c>
    </row>
    <row r="22" spans="1:7" s="20" customFormat="1" x14ac:dyDescent="0.7">
      <c r="A22" s="20">
        <v>20200114</v>
      </c>
      <c r="B22" s="20">
        <v>2</v>
      </c>
      <c r="C22" s="20">
        <v>4</v>
      </c>
      <c r="D22" s="20">
        <v>2020011424</v>
      </c>
      <c r="E22" s="20">
        <v>0</v>
      </c>
      <c r="F22" s="20">
        <v>452599678</v>
      </c>
    </row>
    <row r="23" spans="1:7" s="20" customFormat="1" x14ac:dyDescent="0.7">
      <c r="A23" s="20">
        <v>20200114</v>
      </c>
      <c r="B23" s="20">
        <v>3</v>
      </c>
      <c r="C23" s="20">
        <v>2</v>
      </c>
      <c r="D23" s="20">
        <v>2020011432</v>
      </c>
      <c r="E23" s="20">
        <v>0</v>
      </c>
      <c r="F23" s="20">
        <v>342599567</v>
      </c>
    </row>
    <row r="24" spans="1:7" s="20" customFormat="1" x14ac:dyDescent="0.7">
      <c r="A24" s="20">
        <v>20200114</v>
      </c>
      <c r="B24" s="20">
        <v>4</v>
      </c>
      <c r="C24" s="20">
        <v>3</v>
      </c>
      <c r="D24" s="20">
        <v>2020011443</v>
      </c>
      <c r="E24" s="20">
        <v>0</v>
      </c>
      <c r="F24" s="20">
        <v>342599567</v>
      </c>
    </row>
    <row r="25" spans="1:7" s="20" customFormat="1" x14ac:dyDescent="0.7">
      <c r="A25" s="20">
        <v>20200114</v>
      </c>
      <c r="B25" s="20">
        <v>4</v>
      </c>
      <c r="C25" s="20">
        <v>4</v>
      </c>
      <c r="D25" s="20">
        <v>2020011444</v>
      </c>
      <c r="E25" s="20">
        <v>0</v>
      </c>
      <c r="F25" s="20">
        <v>192501002</v>
      </c>
      <c r="G25" s="20">
        <v>192501003</v>
      </c>
    </row>
    <row r="26" spans="1:7" s="20" customFormat="1" x14ac:dyDescent="0.7">
      <c r="A26" s="20">
        <v>20200114</v>
      </c>
      <c r="B26" s="20">
        <v>5</v>
      </c>
      <c r="C26" s="20">
        <v>1</v>
      </c>
      <c r="D26" s="20">
        <v>2020011451</v>
      </c>
      <c r="E26" s="20">
        <v>0</v>
      </c>
      <c r="F26" s="20">
        <v>192505003</v>
      </c>
      <c r="G26" s="20">
        <v>182505003</v>
      </c>
    </row>
    <row r="27" spans="1:7" s="20" customFormat="1" x14ac:dyDescent="0.7">
      <c r="A27" s="20">
        <v>20200114</v>
      </c>
      <c r="B27" s="20">
        <v>5</v>
      </c>
      <c r="C27" s="20">
        <v>2</v>
      </c>
      <c r="D27" s="20">
        <v>2020011452</v>
      </c>
      <c r="E27" s="20">
        <v>0</v>
      </c>
      <c r="F27" s="20">
        <v>192504003</v>
      </c>
    </row>
    <row r="28" spans="1:7" s="20" customFormat="1" x14ac:dyDescent="0.7">
      <c r="A28" s="20">
        <v>20200114</v>
      </c>
      <c r="B28" s="20">
        <v>5</v>
      </c>
      <c r="C28" s="20">
        <v>3</v>
      </c>
      <c r="D28" s="20">
        <v>2020011453</v>
      </c>
      <c r="E28" s="20">
        <v>0</v>
      </c>
      <c r="F28" s="20">
        <v>192503004</v>
      </c>
    </row>
    <row r="29" spans="1:7" s="20" customFormat="1" x14ac:dyDescent="0.7">
      <c r="A29" s="20">
        <v>20200114</v>
      </c>
      <c r="B29" s="20">
        <v>5</v>
      </c>
      <c r="C29" s="20">
        <v>5</v>
      </c>
      <c r="D29" s="20">
        <v>2020011455</v>
      </c>
      <c r="E29" s="20">
        <v>0</v>
      </c>
      <c r="F29" s="20">
        <v>182502002</v>
      </c>
      <c r="G29" s="20">
        <v>182502003</v>
      </c>
    </row>
    <row r="30" spans="1:7" s="20" customFormat="1" x14ac:dyDescent="0.7">
      <c r="A30" s="20">
        <v>20200114</v>
      </c>
      <c r="B30" s="20">
        <v>6</v>
      </c>
      <c r="C30" s="20">
        <v>2</v>
      </c>
      <c r="D30" s="20">
        <v>2020011462</v>
      </c>
      <c r="E30" s="20">
        <v>0</v>
      </c>
      <c r="F30" s="20">
        <v>192505004</v>
      </c>
    </row>
    <row r="31" spans="1:7" s="20" customFormat="1" x14ac:dyDescent="0.7">
      <c r="A31" s="20">
        <v>20200115</v>
      </c>
      <c r="B31" s="20">
        <v>3</v>
      </c>
      <c r="C31" s="20">
        <v>4</v>
      </c>
      <c r="D31" s="20">
        <v>2020011534</v>
      </c>
      <c r="E31" s="20">
        <v>0</v>
      </c>
      <c r="F31" s="20">
        <v>192510003</v>
      </c>
    </row>
    <row r="32" spans="1:7" s="20" customFormat="1" x14ac:dyDescent="0.7">
      <c r="A32" s="20">
        <v>20200115</v>
      </c>
      <c r="B32" s="20">
        <v>4</v>
      </c>
      <c r="C32" s="20">
        <v>2</v>
      </c>
      <c r="D32" s="20">
        <v>2020011542</v>
      </c>
      <c r="E32" s="20">
        <v>0</v>
      </c>
      <c r="F32" s="20">
        <v>162514022</v>
      </c>
      <c r="G32" s="20">
        <v>182516002</v>
      </c>
    </row>
    <row r="33" spans="1:6" s="20" customFormat="1" x14ac:dyDescent="0.7">
      <c r="A33" s="20">
        <v>20200115</v>
      </c>
      <c r="B33" s="20">
        <v>4</v>
      </c>
      <c r="C33" s="20">
        <v>3</v>
      </c>
      <c r="D33" s="20">
        <v>2020011543</v>
      </c>
      <c r="E33" s="20">
        <v>0</v>
      </c>
      <c r="F33" s="20">
        <v>182513003</v>
      </c>
    </row>
  </sheetData>
  <sortState xmlns:xlrd2="http://schemas.microsoft.com/office/spreadsheetml/2017/richdata2" ref="A2:AA11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5"/>
  <sheetViews>
    <sheetView workbookViewId="0">
      <selection activeCell="D42" sqref="D42"/>
    </sheetView>
  </sheetViews>
  <sheetFormatPr defaultColWidth="8.8125" defaultRowHeight="17.649999999999999" x14ac:dyDescent="0.7"/>
  <cols>
    <col min="1" max="1" width="14.3125" customWidth="1"/>
    <col min="2" max="2" width="12.6875" customWidth="1"/>
    <col min="3" max="3" width="11.8125" customWidth="1"/>
    <col min="4" max="4" width="12.1875" customWidth="1"/>
    <col min="5" max="6" width="11.5" customWidth="1"/>
    <col min="7" max="8" width="12.1875" customWidth="1"/>
  </cols>
  <sheetData>
    <row r="1" spans="1:2" x14ac:dyDescent="0.7">
      <c r="A1">
        <v>20200115</v>
      </c>
      <c r="B1">
        <v>20200115</v>
      </c>
    </row>
    <row r="2" spans="1:2" s="20" customFormat="1" x14ac:dyDescent="0.7">
      <c r="A2" s="20">
        <v>162514022</v>
      </c>
      <c r="B2" s="20">
        <v>1</v>
      </c>
    </row>
    <row r="3" spans="1:2" s="20" customFormat="1" x14ac:dyDescent="0.7">
      <c r="A3" s="20">
        <v>182513003</v>
      </c>
      <c r="B3" s="20">
        <v>1</v>
      </c>
    </row>
    <row r="4" spans="1:2" s="20" customFormat="1" x14ac:dyDescent="0.7">
      <c r="A4" s="20">
        <v>182516002</v>
      </c>
      <c r="B4" s="20">
        <v>1</v>
      </c>
    </row>
    <row r="5" spans="1:2" s="20" customFormat="1" x14ac:dyDescent="0.7">
      <c r="A5" s="20">
        <v>192510003</v>
      </c>
      <c r="B5" s="20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N46"/>
  <sheetViews>
    <sheetView topLeftCell="A13" zoomScaleNormal="100" workbookViewId="0">
      <selection activeCell="A25" sqref="A25"/>
    </sheetView>
  </sheetViews>
  <sheetFormatPr defaultColWidth="8.8125" defaultRowHeight="17.649999999999999" x14ac:dyDescent="0.7"/>
  <cols>
    <col min="1" max="1" width="17.75" bestFit="1" customWidth="1"/>
    <col min="2" max="2" width="11.3125" customWidth="1"/>
    <col min="3" max="3" width="12.6875" bestFit="1" customWidth="1"/>
  </cols>
  <sheetData>
    <row r="1" spans="1:14" x14ac:dyDescent="0.7">
      <c r="A1" s="6" t="s">
        <v>98</v>
      </c>
      <c r="B1" t="s">
        <v>96</v>
      </c>
      <c r="C1" t="s">
        <v>97</v>
      </c>
      <c r="F1" t="s">
        <v>124</v>
      </c>
    </row>
    <row r="2" spans="1:14" x14ac:dyDescent="0.7">
      <c r="A2" s="20">
        <f t="shared" ref="A2:A19" si="0">H6</f>
        <v>2501</v>
      </c>
      <c r="B2" s="20" t="s">
        <v>29</v>
      </c>
      <c r="C2" s="20">
        <f t="shared" ref="C2:C19" si="1">F6</f>
        <v>1</v>
      </c>
    </row>
    <row r="3" spans="1:14" x14ac:dyDescent="0.7">
      <c r="A3" s="20">
        <f t="shared" si="0"/>
        <v>2502</v>
      </c>
      <c r="B3" s="20" t="s">
        <v>30</v>
      </c>
      <c r="C3" s="20">
        <f t="shared" si="1"/>
        <v>2</v>
      </c>
    </row>
    <row r="4" spans="1:14" x14ac:dyDescent="0.7">
      <c r="A4" s="20">
        <f t="shared" si="0"/>
        <v>2503</v>
      </c>
      <c r="B4" s="20" t="s">
        <v>32</v>
      </c>
      <c r="C4" s="20">
        <f t="shared" si="1"/>
        <v>3</v>
      </c>
      <c r="F4" t="s">
        <v>23</v>
      </c>
      <c r="I4" t="s">
        <v>24</v>
      </c>
      <c r="L4" t="s">
        <v>25</v>
      </c>
    </row>
    <row r="5" spans="1:14" x14ac:dyDescent="0.7">
      <c r="A5" s="20">
        <f t="shared" si="0"/>
        <v>2504</v>
      </c>
      <c r="B5" s="20" t="s">
        <v>34</v>
      </c>
      <c r="C5" s="20">
        <f t="shared" si="1"/>
        <v>4</v>
      </c>
      <c r="F5" t="s">
        <v>26</v>
      </c>
      <c r="H5" t="s">
        <v>27</v>
      </c>
      <c r="I5" t="s">
        <v>26</v>
      </c>
      <c r="K5" t="s">
        <v>28</v>
      </c>
      <c r="L5" t="s">
        <v>26</v>
      </c>
      <c r="N5" t="s">
        <v>28</v>
      </c>
    </row>
    <row r="6" spans="1:14" x14ac:dyDescent="0.7">
      <c r="A6" s="20">
        <f t="shared" si="0"/>
        <v>2505</v>
      </c>
      <c r="B6" s="20" t="s">
        <v>35</v>
      </c>
      <c r="C6" s="20">
        <f t="shared" si="1"/>
        <v>5</v>
      </c>
      <c r="F6">
        <v>1</v>
      </c>
      <c r="G6" t="s">
        <v>29</v>
      </c>
      <c r="H6">
        <v>2501</v>
      </c>
      <c r="I6">
        <v>1</v>
      </c>
      <c r="J6" t="s">
        <v>29</v>
      </c>
      <c r="K6">
        <v>2001</v>
      </c>
      <c r="L6" s="7">
        <v>1</v>
      </c>
      <c r="M6" t="s">
        <v>29</v>
      </c>
      <c r="N6" s="7">
        <v>2011</v>
      </c>
    </row>
    <row r="7" spans="1:14" x14ac:dyDescent="0.7">
      <c r="A7" s="20">
        <f t="shared" si="0"/>
        <v>2506</v>
      </c>
      <c r="B7" s="20" t="s">
        <v>36</v>
      </c>
      <c r="C7" s="20">
        <f t="shared" si="1"/>
        <v>6</v>
      </c>
      <c r="F7">
        <v>2</v>
      </c>
      <c r="G7" t="s">
        <v>30</v>
      </c>
      <c r="H7">
        <v>2502</v>
      </c>
      <c r="I7">
        <v>2</v>
      </c>
      <c r="J7" t="s">
        <v>30</v>
      </c>
      <c r="K7">
        <v>2002</v>
      </c>
      <c r="L7" s="7">
        <v>2</v>
      </c>
      <c r="M7" t="s">
        <v>31</v>
      </c>
      <c r="N7" s="7">
        <v>2012</v>
      </c>
    </row>
    <row r="8" spans="1:14" x14ac:dyDescent="0.7">
      <c r="A8" s="20">
        <f t="shared" si="0"/>
        <v>2507</v>
      </c>
      <c r="B8" s="20" t="s">
        <v>37</v>
      </c>
      <c r="C8" s="20">
        <f t="shared" si="1"/>
        <v>7</v>
      </c>
      <c r="F8">
        <v>3</v>
      </c>
      <c r="G8" t="s">
        <v>32</v>
      </c>
      <c r="H8">
        <v>2503</v>
      </c>
      <c r="I8">
        <v>3</v>
      </c>
      <c r="J8" t="s">
        <v>32</v>
      </c>
      <c r="K8">
        <v>2003</v>
      </c>
      <c r="L8" s="7">
        <v>2</v>
      </c>
      <c r="M8" t="s">
        <v>33</v>
      </c>
      <c r="N8" s="7">
        <v>2013</v>
      </c>
    </row>
    <row r="9" spans="1:14" x14ac:dyDescent="0.7">
      <c r="A9" s="20">
        <f t="shared" si="0"/>
        <v>2508</v>
      </c>
      <c r="B9" s="20" t="s">
        <v>38</v>
      </c>
      <c r="C9" s="20">
        <f t="shared" si="1"/>
        <v>8</v>
      </c>
      <c r="F9">
        <v>4</v>
      </c>
      <c r="G9" t="s">
        <v>34</v>
      </c>
      <c r="H9">
        <v>2504</v>
      </c>
      <c r="I9">
        <v>4</v>
      </c>
      <c r="J9" t="s">
        <v>34</v>
      </c>
      <c r="K9">
        <v>2004</v>
      </c>
      <c r="L9" s="7">
        <v>3</v>
      </c>
      <c r="M9" t="s">
        <v>32</v>
      </c>
      <c r="N9" s="7">
        <v>2014</v>
      </c>
    </row>
    <row r="10" spans="1:14" x14ac:dyDescent="0.7">
      <c r="A10" s="20">
        <f t="shared" si="0"/>
        <v>2509</v>
      </c>
      <c r="B10" s="20" t="s">
        <v>39</v>
      </c>
      <c r="C10" s="20">
        <f t="shared" si="1"/>
        <v>9</v>
      </c>
      <c r="F10">
        <v>5</v>
      </c>
      <c r="G10" t="s">
        <v>35</v>
      </c>
      <c r="H10">
        <v>2505</v>
      </c>
      <c r="I10">
        <v>5</v>
      </c>
      <c r="J10" t="s">
        <v>35</v>
      </c>
      <c r="K10">
        <v>2005</v>
      </c>
      <c r="L10" s="7">
        <v>4</v>
      </c>
      <c r="M10" t="s">
        <v>34</v>
      </c>
      <c r="N10" s="7">
        <v>2015</v>
      </c>
    </row>
    <row r="11" spans="1:14" x14ac:dyDescent="0.7">
      <c r="A11" s="20">
        <f t="shared" si="0"/>
        <v>2510</v>
      </c>
      <c r="B11" s="20" t="s">
        <v>40</v>
      </c>
      <c r="C11" s="20">
        <f t="shared" si="1"/>
        <v>10</v>
      </c>
      <c r="F11">
        <v>6</v>
      </c>
      <c r="G11" t="s">
        <v>36</v>
      </c>
      <c r="H11">
        <v>2506</v>
      </c>
      <c r="I11">
        <v>6</v>
      </c>
      <c r="J11" t="s">
        <v>36</v>
      </c>
      <c r="K11">
        <v>2006</v>
      </c>
      <c r="L11" s="7">
        <v>5</v>
      </c>
      <c r="M11" t="s">
        <v>35</v>
      </c>
      <c r="N11" s="7">
        <v>2016</v>
      </c>
    </row>
    <row r="12" spans="1:14" x14ac:dyDescent="0.7">
      <c r="A12" s="20">
        <f t="shared" si="0"/>
        <v>2521</v>
      </c>
      <c r="B12" s="20" t="s">
        <v>41</v>
      </c>
      <c r="C12" s="20">
        <f t="shared" si="1"/>
        <v>11</v>
      </c>
      <c r="F12">
        <v>7</v>
      </c>
      <c r="G12" t="s">
        <v>37</v>
      </c>
      <c r="H12">
        <v>2507</v>
      </c>
      <c r="I12">
        <v>7</v>
      </c>
      <c r="J12" t="s">
        <v>37</v>
      </c>
      <c r="K12">
        <v>2007</v>
      </c>
      <c r="L12" s="7">
        <v>6</v>
      </c>
      <c r="M12" t="s">
        <v>36</v>
      </c>
      <c r="N12" s="7">
        <v>2017</v>
      </c>
    </row>
    <row r="13" spans="1:14" x14ac:dyDescent="0.7">
      <c r="A13" s="20">
        <f t="shared" si="0"/>
        <v>2511</v>
      </c>
      <c r="B13" s="20" t="s">
        <v>43</v>
      </c>
      <c r="C13" s="20">
        <f t="shared" si="1"/>
        <v>51</v>
      </c>
      <c r="F13">
        <v>8</v>
      </c>
      <c r="G13" t="s">
        <v>38</v>
      </c>
      <c r="H13">
        <v>2508</v>
      </c>
      <c r="I13">
        <v>8</v>
      </c>
      <c r="J13" t="s">
        <v>38</v>
      </c>
      <c r="K13">
        <v>2008</v>
      </c>
      <c r="L13" s="7">
        <v>7</v>
      </c>
      <c r="M13" t="s">
        <v>37</v>
      </c>
      <c r="N13" s="7">
        <v>2018</v>
      </c>
    </row>
    <row r="14" spans="1:14" x14ac:dyDescent="0.7">
      <c r="A14" s="20">
        <f t="shared" si="0"/>
        <v>2512</v>
      </c>
      <c r="B14" s="20" t="s">
        <v>45</v>
      </c>
      <c r="C14" s="20">
        <f t="shared" si="1"/>
        <v>52</v>
      </c>
      <c r="F14">
        <v>9</v>
      </c>
      <c r="G14" t="s">
        <v>39</v>
      </c>
      <c r="H14">
        <v>2509</v>
      </c>
      <c r="I14" s="7">
        <v>9</v>
      </c>
      <c r="J14" t="s">
        <v>40</v>
      </c>
      <c r="K14" s="7">
        <v>2009</v>
      </c>
      <c r="L14" s="7">
        <v>8</v>
      </c>
      <c r="M14" t="s">
        <v>38</v>
      </c>
      <c r="N14" s="7">
        <v>2019</v>
      </c>
    </row>
    <row r="15" spans="1:14" x14ac:dyDescent="0.7">
      <c r="A15" s="20">
        <f t="shared" si="0"/>
        <v>2513</v>
      </c>
      <c r="B15" s="20" t="s">
        <v>47</v>
      </c>
      <c r="C15" s="20">
        <f t="shared" si="1"/>
        <v>53</v>
      </c>
      <c r="F15">
        <v>10</v>
      </c>
      <c r="G15" t="s">
        <v>40</v>
      </c>
      <c r="H15" s="7">
        <v>2510</v>
      </c>
      <c r="L15" s="8">
        <v>9</v>
      </c>
      <c r="M15" t="s">
        <v>40</v>
      </c>
      <c r="N15" s="8">
        <v>2020</v>
      </c>
    </row>
    <row r="16" spans="1:14" x14ac:dyDescent="0.7">
      <c r="A16" s="20">
        <f t="shared" si="0"/>
        <v>2514</v>
      </c>
      <c r="B16" s="20" t="s">
        <v>48</v>
      </c>
      <c r="C16" s="20">
        <f t="shared" si="1"/>
        <v>54</v>
      </c>
      <c r="F16">
        <v>11</v>
      </c>
      <c r="G16" t="s">
        <v>41</v>
      </c>
      <c r="H16" s="8">
        <v>2521</v>
      </c>
      <c r="I16" s="7">
        <v>51</v>
      </c>
      <c r="J16" s="7" t="s">
        <v>42</v>
      </c>
      <c r="K16" s="7">
        <v>2101</v>
      </c>
      <c r="L16" s="7">
        <v>51</v>
      </c>
      <c r="M16" t="s">
        <v>42</v>
      </c>
      <c r="N16" s="8">
        <v>2111</v>
      </c>
    </row>
    <row r="17" spans="1:14" x14ac:dyDescent="0.7">
      <c r="A17" s="20">
        <f t="shared" si="0"/>
        <v>2515</v>
      </c>
      <c r="B17" s="20" t="s">
        <v>50</v>
      </c>
      <c r="C17" s="20">
        <f t="shared" si="1"/>
        <v>55</v>
      </c>
      <c r="F17">
        <v>51</v>
      </c>
      <c r="G17" t="s">
        <v>43</v>
      </c>
      <c r="H17" s="8">
        <v>2511</v>
      </c>
      <c r="I17">
        <v>61</v>
      </c>
      <c r="J17" t="s">
        <v>44</v>
      </c>
      <c r="K17">
        <v>2201</v>
      </c>
      <c r="L17" s="8">
        <v>61</v>
      </c>
      <c r="M17" t="s">
        <v>44</v>
      </c>
      <c r="N17" s="8">
        <v>2211</v>
      </c>
    </row>
    <row r="18" spans="1:14" x14ac:dyDescent="0.7">
      <c r="A18" s="20">
        <f t="shared" si="0"/>
        <v>2516</v>
      </c>
      <c r="B18" s="20" t="s">
        <v>51</v>
      </c>
      <c r="C18" s="20">
        <f t="shared" si="1"/>
        <v>56</v>
      </c>
      <c r="F18">
        <v>52</v>
      </c>
      <c r="G18" t="s">
        <v>45</v>
      </c>
      <c r="H18">
        <v>2512</v>
      </c>
      <c r="I18">
        <v>62</v>
      </c>
      <c r="J18" t="s">
        <v>46</v>
      </c>
      <c r="K18">
        <v>2202</v>
      </c>
      <c r="L18" s="8">
        <v>62</v>
      </c>
      <c r="M18" t="s">
        <v>46</v>
      </c>
      <c r="N18" s="8">
        <v>2212</v>
      </c>
    </row>
    <row r="19" spans="1:14" x14ac:dyDescent="0.7">
      <c r="A19" s="20">
        <f t="shared" si="0"/>
        <v>2517</v>
      </c>
      <c r="B19" s="20" t="s">
        <v>52</v>
      </c>
      <c r="C19" s="20">
        <f t="shared" si="1"/>
        <v>57</v>
      </c>
      <c r="F19">
        <v>53</v>
      </c>
      <c r="G19" t="s">
        <v>47</v>
      </c>
      <c r="H19">
        <v>2513</v>
      </c>
    </row>
    <row r="20" spans="1:14" x14ac:dyDescent="0.7">
      <c r="A20" s="20">
        <f t="shared" ref="A20:A28" si="2">K6</f>
        <v>2001</v>
      </c>
      <c r="B20" s="20" t="s">
        <v>99</v>
      </c>
      <c r="C20" s="20">
        <f t="shared" ref="C20:C28" si="3">I6</f>
        <v>1</v>
      </c>
      <c r="F20">
        <v>54</v>
      </c>
      <c r="G20" t="s">
        <v>48</v>
      </c>
      <c r="H20">
        <v>2514</v>
      </c>
      <c r="J20" t="s">
        <v>49</v>
      </c>
      <c r="K20">
        <v>2099</v>
      </c>
      <c r="M20" t="s">
        <v>49</v>
      </c>
      <c r="N20" s="7">
        <v>2099</v>
      </c>
    </row>
    <row r="21" spans="1:14" x14ac:dyDescent="0.7">
      <c r="A21" s="20">
        <f t="shared" si="2"/>
        <v>2002</v>
      </c>
      <c r="B21" s="20" t="s">
        <v>100</v>
      </c>
      <c r="C21" s="20">
        <f t="shared" si="3"/>
        <v>2</v>
      </c>
      <c r="F21">
        <v>55</v>
      </c>
      <c r="G21" t="s">
        <v>50</v>
      </c>
      <c r="H21">
        <v>2515</v>
      </c>
    </row>
    <row r="22" spans="1:14" x14ac:dyDescent="0.7">
      <c r="A22" s="20">
        <f t="shared" si="2"/>
        <v>2003</v>
      </c>
      <c r="B22" s="20" t="s">
        <v>101</v>
      </c>
      <c r="C22" s="20">
        <f t="shared" si="3"/>
        <v>3</v>
      </c>
      <c r="F22">
        <v>56</v>
      </c>
      <c r="G22" t="s">
        <v>51</v>
      </c>
      <c r="H22">
        <v>2516</v>
      </c>
    </row>
    <row r="23" spans="1:14" x14ac:dyDescent="0.7">
      <c r="A23" s="20">
        <f t="shared" si="2"/>
        <v>2004</v>
      </c>
      <c r="B23" s="20" t="s">
        <v>102</v>
      </c>
      <c r="C23" s="20">
        <f t="shared" si="3"/>
        <v>4</v>
      </c>
      <c r="F23">
        <v>57</v>
      </c>
      <c r="G23" t="s">
        <v>52</v>
      </c>
      <c r="H23">
        <v>2517</v>
      </c>
      <c r="J23" t="s">
        <v>53</v>
      </c>
    </row>
    <row r="24" spans="1:14" x14ac:dyDescent="0.7">
      <c r="A24" s="20">
        <f t="shared" si="2"/>
        <v>2005</v>
      </c>
      <c r="B24" s="20" t="s">
        <v>103</v>
      </c>
      <c r="C24" s="20">
        <f t="shared" si="3"/>
        <v>5</v>
      </c>
      <c r="J24" t="s">
        <v>54</v>
      </c>
    </row>
    <row r="25" spans="1:14" x14ac:dyDescent="0.7">
      <c r="A25" s="20">
        <f t="shared" si="2"/>
        <v>2006</v>
      </c>
      <c r="B25" s="20" t="s">
        <v>104</v>
      </c>
      <c r="C25" s="20">
        <f t="shared" si="3"/>
        <v>6</v>
      </c>
      <c r="G25" t="s">
        <v>49</v>
      </c>
      <c r="H25">
        <v>2599</v>
      </c>
    </row>
    <row r="26" spans="1:14" x14ac:dyDescent="0.7">
      <c r="A26" s="20">
        <f t="shared" si="2"/>
        <v>2007</v>
      </c>
      <c r="B26" s="20" t="s">
        <v>105</v>
      </c>
      <c r="C26" s="20">
        <f t="shared" si="3"/>
        <v>7</v>
      </c>
    </row>
    <row r="27" spans="1:14" x14ac:dyDescent="0.7">
      <c r="A27" s="20">
        <f t="shared" si="2"/>
        <v>2008</v>
      </c>
      <c r="B27" s="20" t="s">
        <v>106</v>
      </c>
      <c r="C27" s="20">
        <f t="shared" si="3"/>
        <v>8</v>
      </c>
    </row>
    <row r="28" spans="1:14" x14ac:dyDescent="0.7">
      <c r="A28" s="20">
        <f t="shared" si="2"/>
        <v>2009</v>
      </c>
      <c r="B28" s="20" t="s">
        <v>107</v>
      </c>
      <c r="C28" s="20">
        <f t="shared" si="3"/>
        <v>9</v>
      </c>
    </row>
    <row r="29" spans="1:14" x14ac:dyDescent="0.7">
      <c r="A29" s="7">
        <f>K16</f>
        <v>2101</v>
      </c>
      <c r="B29" s="7" t="s">
        <v>108</v>
      </c>
      <c r="C29" s="7">
        <f>I16</f>
        <v>51</v>
      </c>
    </row>
    <row r="30" spans="1:14" x14ac:dyDescent="0.7">
      <c r="A30" s="20">
        <f>K17</f>
        <v>2201</v>
      </c>
      <c r="B30" s="20" t="s">
        <v>109</v>
      </c>
      <c r="C30" s="20">
        <f>I17</f>
        <v>61</v>
      </c>
    </row>
    <row r="31" spans="1:14" x14ac:dyDescent="0.7">
      <c r="A31" s="20">
        <f>K18</f>
        <v>2202</v>
      </c>
      <c r="B31" s="20" t="s">
        <v>110</v>
      </c>
      <c r="C31" s="20">
        <f>I18</f>
        <v>62</v>
      </c>
    </row>
    <row r="32" spans="1:14" x14ac:dyDescent="0.7">
      <c r="A32" s="7">
        <f t="shared" ref="A32:A44" si="4">N6</f>
        <v>2011</v>
      </c>
      <c r="B32" s="20" t="s">
        <v>113</v>
      </c>
      <c r="C32" s="7">
        <f t="shared" ref="C32:C44" si="5">L6</f>
        <v>1</v>
      </c>
    </row>
    <row r="33" spans="1:3" x14ac:dyDescent="0.7">
      <c r="A33" s="7">
        <f t="shared" si="4"/>
        <v>2012</v>
      </c>
      <c r="B33" s="20" t="s">
        <v>112</v>
      </c>
      <c r="C33" s="7">
        <f t="shared" si="5"/>
        <v>2</v>
      </c>
    </row>
    <row r="34" spans="1:3" x14ac:dyDescent="0.7">
      <c r="A34" s="7">
        <f t="shared" si="4"/>
        <v>2013</v>
      </c>
      <c r="B34" t="s">
        <v>111</v>
      </c>
      <c r="C34" s="7">
        <f t="shared" si="5"/>
        <v>2</v>
      </c>
    </row>
    <row r="35" spans="1:3" x14ac:dyDescent="0.7">
      <c r="A35" s="7">
        <f t="shared" si="4"/>
        <v>2014</v>
      </c>
      <c r="B35" s="20" t="s">
        <v>114</v>
      </c>
      <c r="C35" s="7">
        <f t="shared" si="5"/>
        <v>3</v>
      </c>
    </row>
    <row r="36" spans="1:3" x14ac:dyDescent="0.7">
      <c r="A36" s="7">
        <f t="shared" si="4"/>
        <v>2015</v>
      </c>
      <c r="B36" s="20" t="s">
        <v>115</v>
      </c>
      <c r="C36" s="7">
        <f t="shared" si="5"/>
        <v>4</v>
      </c>
    </row>
    <row r="37" spans="1:3" x14ac:dyDescent="0.7">
      <c r="A37" s="7">
        <f t="shared" si="4"/>
        <v>2016</v>
      </c>
      <c r="B37" s="20" t="s">
        <v>116</v>
      </c>
      <c r="C37" s="7">
        <f t="shared" si="5"/>
        <v>5</v>
      </c>
    </row>
    <row r="38" spans="1:3" x14ac:dyDescent="0.7">
      <c r="A38" s="7">
        <f t="shared" si="4"/>
        <v>2017</v>
      </c>
      <c r="B38" s="20" t="s">
        <v>117</v>
      </c>
      <c r="C38" s="7">
        <f t="shared" si="5"/>
        <v>6</v>
      </c>
    </row>
    <row r="39" spans="1:3" x14ac:dyDescent="0.7">
      <c r="A39" s="7">
        <f t="shared" si="4"/>
        <v>2018</v>
      </c>
      <c r="B39" s="20" t="s">
        <v>118</v>
      </c>
      <c r="C39" s="7">
        <f t="shared" si="5"/>
        <v>7</v>
      </c>
    </row>
    <row r="40" spans="1:3" x14ac:dyDescent="0.7">
      <c r="A40" s="7">
        <f t="shared" si="4"/>
        <v>2019</v>
      </c>
      <c r="B40" s="20" t="s">
        <v>119</v>
      </c>
      <c r="C40" s="7">
        <f t="shared" si="5"/>
        <v>8</v>
      </c>
    </row>
    <row r="41" spans="1:3" x14ac:dyDescent="0.7">
      <c r="A41" s="7">
        <f t="shared" si="4"/>
        <v>2020</v>
      </c>
      <c r="B41" s="20" t="s">
        <v>120</v>
      </c>
      <c r="C41" s="7">
        <f t="shared" si="5"/>
        <v>9</v>
      </c>
    </row>
    <row r="42" spans="1:3" x14ac:dyDescent="0.7">
      <c r="A42" s="7">
        <f t="shared" si="4"/>
        <v>2111</v>
      </c>
      <c r="B42" s="7" t="s">
        <v>121</v>
      </c>
      <c r="C42" s="7">
        <f t="shared" si="5"/>
        <v>51</v>
      </c>
    </row>
    <row r="43" spans="1:3" x14ac:dyDescent="0.7">
      <c r="A43" s="7">
        <f t="shared" si="4"/>
        <v>2211</v>
      </c>
      <c r="B43" s="20" t="s">
        <v>122</v>
      </c>
      <c r="C43" s="7">
        <f t="shared" si="5"/>
        <v>61</v>
      </c>
    </row>
    <row r="44" spans="1:3" x14ac:dyDescent="0.7">
      <c r="A44" s="7">
        <f t="shared" si="4"/>
        <v>2212</v>
      </c>
      <c r="B44" s="20" t="s">
        <v>123</v>
      </c>
      <c r="C44" s="7">
        <f t="shared" si="5"/>
        <v>62</v>
      </c>
    </row>
    <row r="45" spans="1:3" x14ac:dyDescent="0.7">
      <c r="A45" s="8">
        <v>2599</v>
      </c>
      <c r="B45" s="20" t="s">
        <v>49</v>
      </c>
    </row>
    <row r="46" spans="1:3" x14ac:dyDescent="0.7">
      <c r="A46" s="8">
        <v>2099</v>
      </c>
      <c r="B46" s="20" t="s">
        <v>49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9"/>
  <sheetViews>
    <sheetView topLeftCell="A4" workbookViewId="0">
      <selection activeCell="G37" sqref="G37"/>
    </sheetView>
  </sheetViews>
  <sheetFormatPr defaultColWidth="8.8125" defaultRowHeight="17.649999999999999" x14ac:dyDescent="0.7"/>
  <cols>
    <col min="1" max="1" width="20.1875" style="19" customWidth="1"/>
    <col min="2" max="2" width="17.5" style="19" customWidth="1"/>
    <col min="3" max="3" width="14.1875" customWidth="1"/>
  </cols>
  <sheetData>
    <row r="1" spans="1:13" x14ac:dyDescent="0.7">
      <c r="A1" s="19" t="s">
        <v>61</v>
      </c>
      <c r="B1" s="19" t="s">
        <v>62</v>
      </c>
      <c r="C1" t="s">
        <v>63</v>
      </c>
    </row>
    <row r="2" spans="1:13" s="20" customFormat="1" x14ac:dyDescent="0.7">
      <c r="A2" s="19">
        <v>43730.833333333336</v>
      </c>
      <c r="B2" s="19">
        <v>43730.875</v>
      </c>
      <c r="C2" s="20">
        <v>4</v>
      </c>
    </row>
    <row r="3" spans="1:13" s="20" customFormat="1" x14ac:dyDescent="0.7">
      <c r="A3" s="19">
        <v>43730.875</v>
      </c>
      <c r="B3" s="19">
        <v>43730.958333333336</v>
      </c>
      <c r="C3" s="20">
        <v>7</v>
      </c>
    </row>
    <row r="4" spans="1:13" s="18" customFormat="1" x14ac:dyDescent="0.7">
      <c r="A4" s="19">
        <v>43731.583333333336</v>
      </c>
      <c r="B4" s="19">
        <v>43731.625</v>
      </c>
      <c r="C4" s="18">
        <v>13</v>
      </c>
    </row>
    <row r="5" spans="1:13" s="18" customFormat="1" x14ac:dyDescent="0.7">
      <c r="A5" s="19">
        <v>43732.5</v>
      </c>
      <c r="B5" s="19">
        <v>43732.583333333336</v>
      </c>
      <c r="C5" s="18">
        <v>5</v>
      </c>
    </row>
    <row r="6" spans="1:13" s="18" customFormat="1" x14ac:dyDescent="0.7">
      <c r="A6" s="19">
        <v>43732.541666666664</v>
      </c>
      <c r="B6" s="19">
        <v>43732.625</v>
      </c>
      <c r="C6" s="18">
        <v>2</v>
      </c>
    </row>
    <row r="7" spans="1:13" s="18" customFormat="1" x14ac:dyDescent="0.7">
      <c r="A7" s="19">
        <v>43732.625</v>
      </c>
      <c r="B7" s="19">
        <v>43732.666666666664</v>
      </c>
      <c r="C7" s="18">
        <v>10</v>
      </c>
    </row>
    <row r="8" spans="1:13" s="18" customFormat="1" x14ac:dyDescent="0.7">
      <c r="A8" s="19">
        <v>43732.625</v>
      </c>
      <c r="B8" s="19">
        <v>43732.666666666664</v>
      </c>
      <c r="C8" s="18">
        <v>6</v>
      </c>
    </row>
    <row r="9" spans="1:13" s="18" customFormat="1" x14ac:dyDescent="0.7">
      <c r="A9" s="19">
        <v>43733.541666666664</v>
      </c>
      <c r="B9" s="19">
        <v>43733.583333333336</v>
      </c>
      <c r="C9" s="18">
        <v>11</v>
      </c>
    </row>
    <row r="10" spans="1:13" s="18" customFormat="1" x14ac:dyDescent="0.7">
      <c r="A10" s="19">
        <v>43733.541666666664</v>
      </c>
      <c r="B10" s="19">
        <v>43733.583333333336</v>
      </c>
      <c r="C10" s="18">
        <v>1</v>
      </c>
    </row>
    <row r="11" spans="1:13" s="18" customFormat="1" x14ac:dyDescent="0.7">
      <c r="A11" s="19">
        <v>43733.583333333336</v>
      </c>
      <c r="B11" s="19">
        <v>43733.625</v>
      </c>
      <c r="C11" s="18">
        <v>7</v>
      </c>
    </row>
    <row r="12" spans="1:13" s="18" customFormat="1" x14ac:dyDescent="0.7">
      <c r="A12" s="19">
        <v>43733.625</v>
      </c>
      <c r="B12" s="19">
        <v>43733.666666666664</v>
      </c>
      <c r="C12" s="18">
        <v>9</v>
      </c>
    </row>
    <row r="13" spans="1:13" s="18" customFormat="1" x14ac:dyDescent="0.7">
      <c r="A13" s="19">
        <v>43734.541666666664</v>
      </c>
      <c r="B13" s="19">
        <v>43734.583333333336</v>
      </c>
      <c r="C13" s="18">
        <v>2</v>
      </c>
    </row>
    <row r="14" spans="1:13" s="18" customFormat="1" x14ac:dyDescent="0.7">
      <c r="A14" s="19">
        <v>43734.5</v>
      </c>
      <c r="B14" s="19">
        <v>43734.583333333336</v>
      </c>
      <c r="C14" s="18">
        <v>1</v>
      </c>
    </row>
    <row r="15" spans="1:13" s="18" customFormat="1" x14ac:dyDescent="0.7">
      <c r="A15" s="19">
        <v>43734.583333333336</v>
      </c>
      <c r="B15" s="19">
        <v>43734.666666666664</v>
      </c>
      <c r="C15" s="18">
        <v>3</v>
      </c>
      <c r="L15" s="19"/>
      <c r="M15" s="19"/>
    </row>
    <row r="16" spans="1:13" s="18" customFormat="1" x14ac:dyDescent="0.7">
      <c r="A16" s="19">
        <v>43735.541666666664</v>
      </c>
      <c r="B16" s="19">
        <v>43735.583333333336</v>
      </c>
      <c r="C16" s="18">
        <v>8</v>
      </c>
      <c r="L16" s="19"/>
      <c r="M16" s="19"/>
    </row>
    <row r="17" spans="1:13" s="18" customFormat="1" x14ac:dyDescent="0.7">
      <c r="A17" s="19">
        <v>43735.541666666664</v>
      </c>
      <c r="B17" s="19">
        <v>43735.583333333336</v>
      </c>
      <c r="C17" s="18">
        <v>10</v>
      </c>
      <c r="L17" s="19"/>
      <c r="M17" s="19"/>
    </row>
    <row r="18" spans="1:13" s="18" customFormat="1" x14ac:dyDescent="0.7">
      <c r="A18" s="19">
        <v>43735.583333333336</v>
      </c>
      <c r="B18" s="19">
        <v>43735.625</v>
      </c>
      <c r="C18" s="18">
        <v>13</v>
      </c>
    </row>
    <row r="19" spans="1:13" s="18" customFormat="1" x14ac:dyDescent="0.7">
      <c r="A19" s="19">
        <v>43735.583333333336</v>
      </c>
      <c r="B19" s="19">
        <v>43735.666666666664</v>
      </c>
      <c r="C19" s="18">
        <v>4</v>
      </c>
    </row>
    <row r="20" spans="1:13" s="18" customFormat="1" x14ac:dyDescent="0.7">
      <c r="A20" s="19">
        <v>43768</v>
      </c>
      <c r="B20" s="19">
        <v>43768.208333333336</v>
      </c>
      <c r="C20" s="18">
        <v>3</v>
      </c>
    </row>
    <row r="21" spans="1:13" s="18" customFormat="1" x14ac:dyDescent="0.7">
      <c r="A21" s="19">
        <v>43770</v>
      </c>
      <c r="B21" s="19">
        <v>43770.083333333336</v>
      </c>
      <c r="C21" s="18">
        <v>4</v>
      </c>
    </row>
    <row r="22" spans="1:13" s="18" customFormat="1" x14ac:dyDescent="0.7">
      <c r="A22" s="19">
        <v>43778</v>
      </c>
      <c r="B22" s="19">
        <v>43778.833333333336</v>
      </c>
      <c r="C22" s="18">
        <v>0</v>
      </c>
    </row>
    <row r="23" spans="1:13" s="18" customFormat="1" x14ac:dyDescent="0.7">
      <c r="A23" s="19">
        <v>43778</v>
      </c>
      <c r="B23" s="19">
        <v>43778.833333333336</v>
      </c>
      <c r="C23" s="18">
        <v>0</v>
      </c>
    </row>
    <row r="24" spans="1:13" s="20" customFormat="1" x14ac:dyDescent="0.7">
      <c r="A24" s="4">
        <v>43781.666666666664</v>
      </c>
      <c r="B24" s="4">
        <v>43781.708333333336</v>
      </c>
      <c r="C24" s="20">
        <v>1</v>
      </c>
    </row>
    <row r="25" spans="1:13" s="18" customFormat="1" x14ac:dyDescent="0.7">
      <c r="A25" s="4">
        <v>43781.708333333336</v>
      </c>
      <c r="B25" s="4">
        <v>43781.75</v>
      </c>
      <c r="C25" s="20">
        <v>2</v>
      </c>
    </row>
    <row r="26" spans="1:13" s="18" customFormat="1" x14ac:dyDescent="0.7">
      <c r="A26" s="19">
        <v>43781.708333333336</v>
      </c>
      <c r="B26" s="19">
        <v>43781.791666666664</v>
      </c>
      <c r="C26" s="20">
        <v>3</v>
      </c>
    </row>
    <row r="27" spans="1:13" s="20" customFormat="1" x14ac:dyDescent="0.7">
      <c r="A27" s="19">
        <v>43781.75</v>
      </c>
      <c r="B27" s="19">
        <v>43781.791666666664</v>
      </c>
      <c r="C27" s="20">
        <v>4</v>
      </c>
    </row>
    <row r="28" spans="1:13" s="20" customFormat="1" x14ac:dyDescent="0.7">
      <c r="A28" s="19">
        <v>43781.784062500003</v>
      </c>
      <c r="B28" s="19">
        <v>43781.794479166667</v>
      </c>
      <c r="C28" s="20">
        <v>3</v>
      </c>
    </row>
    <row r="29" spans="1:13" s="20" customFormat="1" x14ac:dyDescent="0.7">
      <c r="A29" s="19">
        <v>43781.784756944442</v>
      </c>
      <c r="B29" s="19">
        <v>43781.795173611114</v>
      </c>
      <c r="C29" s="20">
        <v>2</v>
      </c>
    </row>
    <row r="30" spans="1:13" s="20" customFormat="1" x14ac:dyDescent="0.7">
      <c r="A30" s="19">
        <v>43782.068923611114</v>
      </c>
      <c r="B30" s="19">
        <v>43782.069803240738</v>
      </c>
      <c r="C30" s="20">
        <v>6</v>
      </c>
    </row>
    <row r="31" spans="1:13" s="18" customFormat="1" x14ac:dyDescent="0.7">
      <c r="A31" s="19">
        <v>43782</v>
      </c>
      <c r="B31" s="19">
        <v>43782.070972222224</v>
      </c>
      <c r="C31" s="18">
        <v>2</v>
      </c>
    </row>
    <row r="32" spans="1:13" s="20" customFormat="1" x14ac:dyDescent="0.7">
      <c r="A32" s="19">
        <v>43782.075254629628</v>
      </c>
      <c r="B32" s="19">
        <v>43782.158587962964</v>
      </c>
      <c r="C32" s="20">
        <v>7</v>
      </c>
    </row>
    <row r="33" spans="1:3" s="20" customFormat="1" x14ac:dyDescent="0.7">
      <c r="A33" s="19">
        <v>43782.749421296299</v>
      </c>
      <c r="B33" s="19">
        <v>43782.791087962964</v>
      </c>
      <c r="C33" s="20">
        <v>6</v>
      </c>
    </row>
    <row r="34" spans="1:3" s="20" customFormat="1" x14ac:dyDescent="0.7">
      <c r="A34" s="19">
        <v>43786.879629629628</v>
      </c>
      <c r="B34" s="19">
        <v>43786.88013888889</v>
      </c>
      <c r="C34" s="20">
        <v>1</v>
      </c>
    </row>
    <row r="35" spans="1:3" s="20" customFormat="1" x14ac:dyDescent="0.7">
      <c r="A35" s="19">
        <v>43803.541666666664</v>
      </c>
      <c r="B35" s="19">
        <v>43803.583333333336</v>
      </c>
      <c r="C35" s="20">
        <v>7</v>
      </c>
    </row>
    <row r="36" spans="1:3" s="20" customFormat="1" x14ac:dyDescent="0.7">
      <c r="A36" s="19">
        <v>43806.833333333336</v>
      </c>
      <c r="B36" s="19">
        <v>43806.875</v>
      </c>
      <c r="C36" s="20">
        <v>4</v>
      </c>
    </row>
    <row r="37" spans="1:3" s="20" customFormat="1" x14ac:dyDescent="0.7">
      <c r="A37" s="19">
        <v>43806.875</v>
      </c>
      <c r="B37" s="19">
        <v>43806.958333333336</v>
      </c>
      <c r="C37" s="20">
        <v>7</v>
      </c>
    </row>
    <row r="38" spans="1:3" s="18" customFormat="1" x14ac:dyDescent="0.7">
      <c r="A38" s="19"/>
      <c r="B38" s="19"/>
    </row>
    <row r="39" spans="1:3" s="18" customFormat="1" x14ac:dyDescent="0.7">
      <c r="A39" s="19"/>
      <c r="B39" s="19"/>
    </row>
    <row r="40" spans="1:3" s="18" customFormat="1" x14ac:dyDescent="0.7">
      <c r="A40" s="19"/>
      <c r="B40" s="19"/>
    </row>
    <row r="41" spans="1:3" s="18" customFormat="1" x14ac:dyDescent="0.7">
      <c r="A41" s="19"/>
      <c r="B41" s="19"/>
    </row>
    <row r="42" spans="1:3" s="18" customFormat="1" x14ac:dyDescent="0.7">
      <c r="A42" s="19"/>
      <c r="B42" s="19"/>
    </row>
    <row r="43" spans="1:3" s="18" customFormat="1" x14ac:dyDescent="0.7">
      <c r="A43" s="19"/>
      <c r="B43" s="19"/>
    </row>
    <row r="44" spans="1:3" s="18" customFormat="1" x14ac:dyDescent="0.7">
      <c r="A44" s="19"/>
      <c r="B44" s="19"/>
    </row>
    <row r="45" spans="1:3" s="18" customFormat="1" x14ac:dyDescent="0.7">
      <c r="A45" s="19"/>
      <c r="B45" s="19"/>
    </row>
    <row r="46" spans="1:3" s="18" customFormat="1" x14ac:dyDescent="0.7">
      <c r="A46" s="19"/>
      <c r="B46" s="19"/>
    </row>
    <row r="47" spans="1:3" s="18" customFormat="1" x14ac:dyDescent="0.7">
      <c r="A47" s="19"/>
      <c r="B47" s="19"/>
    </row>
    <row r="48" spans="1:3" s="18" customFormat="1" x14ac:dyDescent="0.7">
      <c r="A48" s="19"/>
      <c r="B48" s="19"/>
    </row>
    <row r="49" spans="1:4" s="18" customFormat="1" x14ac:dyDescent="0.7">
      <c r="A49" s="19"/>
      <c r="B49" s="19"/>
    </row>
    <row r="50" spans="1:4" s="18" customFormat="1" x14ac:dyDescent="0.7">
      <c r="A50" s="19"/>
      <c r="B50" s="19"/>
    </row>
    <row r="51" spans="1:4" s="18" customFormat="1" x14ac:dyDescent="0.7">
      <c r="A51" s="19"/>
      <c r="B51" s="19"/>
    </row>
    <row r="52" spans="1:4" s="18" customFormat="1" x14ac:dyDescent="0.7">
      <c r="A52" s="19"/>
      <c r="B52" s="19"/>
    </row>
    <row r="53" spans="1:4" s="18" customFormat="1" x14ac:dyDescent="0.7">
      <c r="A53" s="19"/>
      <c r="B53" s="19"/>
    </row>
    <row r="54" spans="1:4" s="18" customFormat="1" x14ac:dyDescent="0.7">
      <c r="A54" s="19"/>
      <c r="B54" s="19"/>
    </row>
    <row r="55" spans="1:4" s="18" customFormat="1" x14ac:dyDescent="0.7">
      <c r="A55" s="19"/>
      <c r="B55" s="19"/>
    </row>
    <row r="56" spans="1:4" s="18" customFormat="1" x14ac:dyDescent="0.7">
      <c r="A56" s="19"/>
      <c r="B56" s="19"/>
    </row>
    <row r="57" spans="1:4" s="18" customFormat="1" x14ac:dyDescent="0.7">
      <c r="A57" s="19"/>
      <c r="B57" s="19"/>
    </row>
    <row r="58" spans="1:4" x14ac:dyDescent="0.7">
      <c r="A58" s="4"/>
      <c r="C58" s="3"/>
      <c r="D58" s="3"/>
    </row>
    <row r="59" spans="1:4" s="18" customFormat="1" x14ac:dyDescent="0.7">
      <c r="A59" s="4"/>
      <c r="B59" s="19"/>
      <c r="C59" s="3"/>
      <c r="D59" s="3"/>
    </row>
    <row r="60" spans="1:4" s="18" customFormat="1" x14ac:dyDescent="0.7">
      <c r="A60" s="4"/>
      <c r="B60" s="19"/>
      <c r="C60" s="3"/>
      <c r="D60" s="3"/>
    </row>
    <row r="61" spans="1:4" s="18" customFormat="1" x14ac:dyDescent="0.7">
      <c r="A61" s="4"/>
      <c r="B61" s="19"/>
      <c r="C61" s="3"/>
      <c r="D61" s="3"/>
    </row>
    <row r="62" spans="1:4" s="18" customFormat="1" x14ac:dyDescent="0.7">
      <c r="A62" s="4"/>
      <c r="B62" s="19"/>
      <c r="C62" s="3"/>
      <c r="D62" s="3"/>
    </row>
    <row r="63" spans="1:4" s="18" customFormat="1" x14ac:dyDescent="0.7">
      <c r="A63" s="4"/>
      <c r="B63" s="19"/>
      <c r="C63" s="3"/>
      <c r="D63" s="3"/>
    </row>
    <row r="64" spans="1:4" s="18" customFormat="1" x14ac:dyDescent="0.7">
      <c r="A64" s="4"/>
      <c r="B64" s="19"/>
      <c r="C64" s="3"/>
      <c r="D64" s="3"/>
    </row>
    <row r="65" spans="1:4" s="18" customFormat="1" x14ac:dyDescent="0.7">
      <c r="A65" s="4"/>
      <c r="B65" s="19"/>
      <c r="C65" s="3"/>
      <c r="D65" s="3"/>
    </row>
    <row r="66" spans="1:4" s="18" customFormat="1" x14ac:dyDescent="0.7">
      <c r="A66" s="4"/>
      <c r="B66" s="19"/>
      <c r="C66" s="3"/>
      <c r="D66" s="3"/>
    </row>
    <row r="67" spans="1:4" s="18" customFormat="1" x14ac:dyDescent="0.7">
      <c r="A67" s="4"/>
      <c r="B67" s="19"/>
      <c r="C67" s="3"/>
      <c r="D67" s="3"/>
    </row>
    <row r="68" spans="1:4" s="18" customFormat="1" x14ac:dyDescent="0.7">
      <c r="A68" s="4"/>
      <c r="B68" s="19"/>
      <c r="C68" s="3"/>
      <c r="D68" s="3"/>
    </row>
    <row r="69" spans="1:4" s="18" customFormat="1" x14ac:dyDescent="0.7">
      <c r="A69" s="4"/>
      <c r="B69" s="19"/>
      <c r="C69" s="3"/>
      <c r="D69" s="3"/>
    </row>
    <row r="70" spans="1:4" s="18" customFormat="1" x14ac:dyDescent="0.7">
      <c r="A70" s="4"/>
      <c r="B70" s="19"/>
      <c r="C70" s="3"/>
      <c r="D70" s="3"/>
    </row>
    <row r="71" spans="1:4" s="18" customFormat="1" x14ac:dyDescent="0.7">
      <c r="A71" s="4"/>
      <c r="B71" s="19"/>
      <c r="C71" s="3"/>
      <c r="D71" s="3"/>
    </row>
    <row r="72" spans="1:4" s="18" customFormat="1" x14ac:dyDescent="0.7">
      <c r="A72" s="4"/>
      <c r="B72" s="19"/>
      <c r="C72" s="3"/>
      <c r="D72" s="3"/>
    </row>
    <row r="73" spans="1:4" s="18" customFormat="1" x14ac:dyDescent="0.7">
      <c r="A73" s="4"/>
      <c r="B73" s="19"/>
      <c r="C73" s="3"/>
      <c r="D73" s="3"/>
    </row>
    <row r="74" spans="1:4" s="18" customFormat="1" x14ac:dyDescent="0.7">
      <c r="A74" s="4"/>
      <c r="B74" s="19"/>
      <c r="C74" s="3"/>
      <c r="D74" s="3"/>
    </row>
    <row r="75" spans="1:4" s="18" customFormat="1" x14ac:dyDescent="0.7">
      <c r="A75" s="4"/>
      <c r="B75" s="19"/>
      <c r="C75" s="3"/>
      <c r="D75" s="3"/>
    </row>
    <row r="76" spans="1:4" s="18" customFormat="1" x14ac:dyDescent="0.7">
      <c r="A76" s="4"/>
      <c r="B76" s="19"/>
      <c r="C76" s="3"/>
      <c r="D76" s="3"/>
    </row>
    <row r="77" spans="1:4" x14ac:dyDescent="0.7">
      <c r="A77" s="4"/>
      <c r="C77" s="3"/>
      <c r="D77" s="3"/>
    </row>
    <row r="78" spans="1:4" x14ac:dyDescent="0.7">
      <c r="A78" s="4"/>
      <c r="C78" s="3"/>
      <c r="D78" s="3"/>
    </row>
    <row r="79" spans="1:4" x14ac:dyDescent="0.7">
      <c r="A79" s="4"/>
      <c r="C79" s="3"/>
      <c r="D79" s="3"/>
    </row>
    <row r="80" spans="1:4" x14ac:dyDescent="0.7">
      <c r="A80" s="4"/>
      <c r="C80" s="3"/>
      <c r="D80" s="3"/>
    </row>
    <row r="81" spans="1:4" x14ac:dyDescent="0.7">
      <c r="A81" s="4"/>
      <c r="C81" s="3"/>
      <c r="D81" s="3"/>
    </row>
    <row r="82" spans="1:4" s="18" customFormat="1" x14ac:dyDescent="0.7">
      <c r="A82" s="4"/>
      <c r="B82" s="19"/>
      <c r="C82" s="3"/>
      <c r="D82" s="3"/>
    </row>
    <row r="83" spans="1:4" s="18" customFormat="1" x14ac:dyDescent="0.7">
      <c r="A83" s="4"/>
      <c r="B83" s="19"/>
      <c r="C83" s="3"/>
      <c r="D83" s="3"/>
    </row>
    <row r="84" spans="1:4" s="18" customFormat="1" x14ac:dyDescent="0.7">
      <c r="A84" s="4"/>
      <c r="B84" s="19"/>
      <c r="C84" s="3"/>
      <c r="D84" s="3"/>
    </row>
    <row r="85" spans="1:4" s="18" customFormat="1" x14ac:dyDescent="0.7">
      <c r="A85" s="4"/>
      <c r="B85" s="19"/>
      <c r="C85" s="3"/>
      <c r="D85" s="3"/>
    </row>
    <row r="86" spans="1:4" s="18" customFormat="1" x14ac:dyDescent="0.7">
      <c r="A86" s="4"/>
      <c r="B86" s="19"/>
      <c r="C86" s="3"/>
      <c r="D86" s="3"/>
    </row>
    <row r="87" spans="1:4" s="18" customFormat="1" x14ac:dyDescent="0.7">
      <c r="A87" s="4"/>
      <c r="B87" s="19"/>
      <c r="C87" s="3"/>
      <c r="D87" s="3"/>
    </row>
    <row r="88" spans="1:4" s="18" customFormat="1" x14ac:dyDescent="0.7">
      <c r="A88" s="4"/>
      <c r="B88" s="19"/>
      <c r="C88" s="3"/>
      <c r="D88" s="3"/>
    </row>
    <row r="89" spans="1:4" s="18" customFormat="1" x14ac:dyDescent="0.7">
      <c r="A89" s="4"/>
      <c r="B89" s="19"/>
      <c r="C89" s="3"/>
      <c r="D89" s="3"/>
    </row>
    <row r="90" spans="1:4" s="18" customFormat="1" x14ac:dyDescent="0.7">
      <c r="A90" s="4"/>
      <c r="B90" s="19"/>
      <c r="C90" s="3"/>
      <c r="D90" s="3"/>
    </row>
    <row r="91" spans="1:4" s="18" customFormat="1" x14ac:dyDescent="0.7">
      <c r="A91" s="4"/>
      <c r="B91" s="19"/>
      <c r="C91" s="3"/>
      <c r="D91" s="3"/>
    </row>
    <row r="92" spans="1:4" s="18" customFormat="1" x14ac:dyDescent="0.7">
      <c r="A92" s="4"/>
      <c r="B92" s="19"/>
      <c r="C92" s="3"/>
      <c r="D92" s="3"/>
    </row>
    <row r="93" spans="1:4" s="18" customFormat="1" x14ac:dyDescent="0.7">
      <c r="A93" s="4"/>
      <c r="B93" s="19"/>
      <c r="C93" s="3"/>
      <c r="D93" s="3"/>
    </row>
    <row r="94" spans="1:4" s="18" customFormat="1" x14ac:dyDescent="0.7">
      <c r="A94" s="19"/>
      <c r="B94" s="19"/>
      <c r="C94" s="3"/>
    </row>
    <row r="95" spans="1:4" s="18" customFormat="1" x14ac:dyDescent="0.7">
      <c r="A95" s="19"/>
      <c r="B95" s="19"/>
      <c r="C95" s="3"/>
    </row>
    <row r="96" spans="1:4" s="18" customFormat="1" x14ac:dyDescent="0.7">
      <c r="A96" s="19"/>
      <c r="B96" s="19"/>
      <c r="C96" s="3"/>
    </row>
    <row r="97" spans="1:3" s="18" customFormat="1" x14ac:dyDescent="0.7">
      <c r="A97" s="19"/>
      <c r="B97" s="19"/>
      <c r="C97" s="3"/>
    </row>
    <row r="98" spans="1:3" s="18" customFormat="1" x14ac:dyDescent="0.7">
      <c r="A98" s="19"/>
      <c r="B98" s="19"/>
      <c r="C98" s="3"/>
    </row>
    <row r="99" spans="1:3" s="18" customFormat="1" x14ac:dyDescent="0.7">
      <c r="A99" s="19"/>
      <c r="B99" s="19"/>
      <c r="C99" s="3"/>
    </row>
    <row r="100" spans="1:3" s="18" customFormat="1" x14ac:dyDescent="0.7">
      <c r="A100" s="19"/>
      <c r="B100" s="19"/>
      <c r="C100"/>
    </row>
    <row r="101" spans="1:3" s="18" customFormat="1" x14ac:dyDescent="0.7">
      <c r="A101" s="19"/>
      <c r="B101" s="19"/>
      <c r="C101"/>
    </row>
    <row r="102" spans="1:3" s="18" customFormat="1" x14ac:dyDescent="0.7">
      <c r="A102" s="19"/>
      <c r="B102" s="19"/>
      <c r="C102"/>
    </row>
    <row r="103" spans="1:3" s="18" customFormat="1" x14ac:dyDescent="0.7">
      <c r="A103" s="19"/>
      <c r="B103" s="19"/>
      <c r="C103"/>
    </row>
    <row r="104" spans="1:3" s="18" customFormat="1" x14ac:dyDescent="0.7">
      <c r="A104" s="19"/>
      <c r="B104" s="19"/>
      <c r="C104"/>
    </row>
    <row r="105" spans="1:3" s="18" customFormat="1" x14ac:dyDescent="0.7">
      <c r="A105" s="19"/>
      <c r="B105" s="19"/>
      <c r="C105"/>
    </row>
    <row r="106" spans="1:3" s="18" customFormat="1" x14ac:dyDescent="0.7">
      <c r="A106" s="19"/>
      <c r="B106" s="19"/>
      <c r="C106"/>
    </row>
    <row r="107" spans="1:3" s="18" customFormat="1" x14ac:dyDescent="0.7">
      <c r="A107" s="19"/>
      <c r="B107" s="19"/>
      <c r="C107"/>
    </row>
    <row r="108" spans="1:3" s="18" customFormat="1" x14ac:dyDescent="0.7">
      <c r="A108" s="19"/>
      <c r="B108" s="19"/>
      <c r="C108"/>
    </row>
    <row r="109" spans="1:3" s="18" customFormat="1" x14ac:dyDescent="0.7">
      <c r="A109" s="19"/>
      <c r="B109" s="19"/>
      <c r="C109"/>
    </row>
    <row r="110" spans="1:3" s="18" customFormat="1" x14ac:dyDescent="0.7">
      <c r="A110" s="19"/>
      <c r="B110" s="19"/>
      <c r="C110"/>
    </row>
    <row r="111" spans="1:3" s="18" customFormat="1" x14ac:dyDescent="0.7">
      <c r="A111" s="19"/>
      <c r="B111" s="19"/>
      <c r="C111"/>
    </row>
    <row r="112" spans="1:3" s="18" customFormat="1" x14ac:dyDescent="0.7">
      <c r="A112" s="19"/>
      <c r="B112" s="19"/>
      <c r="C112"/>
    </row>
    <row r="113" spans="1:3" s="18" customFormat="1" x14ac:dyDescent="0.7">
      <c r="A113" s="19"/>
      <c r="B113" s="19"/>
      <c r="C113"/>
    </row>
    <row r="114" spans="1:3" s="18" customFormat="1" x14ac:dyDescent="0.7">
      <c r="A114" s="19"/>
      <c r="B114" s="19"/>
      <c r="C114"/>
    </row>
    <row r="115" spans="1:3" s="18" customFormat="1" x14ac:dyDescent="0.7">
      <c r="A115" s="19"/>
      <c r="B115" s="19"/>
      <c r="C115"/>
    </row>
    <row r="116" spans="1:3" s="18" customFormat="1" x14ac:dyDescent="0.7">
      <c r="A116" s="19"/>
      <c r="B116" s="19"/>
      <c r="C116"/>
    </row>
    <row r="117" spans="1:3" s="18" customFormat="1" x14ac:dyDescent="0.7">
      <c r="A117" s="19"/>
      <c r="B117" s="19"/>
      <c r="C117"/>
    </row>
    <row r="118" spans="1:3" s="18" customFormat="1" x14ac:dyDescent="0.7">
      <c r="A118" s="19"/>
      <c r="B118" s="19"/>
      <c r="C118"/>
    </row>
    <row r="119" spans="1:3" s="18" customFormat="1" x14ac:dyDescent="0.7">
      <c r="A119" s="19"/>
      <c r="B119" s="19"/>
      <c r="C119"/>
    </row>
    <row r="120" spans="1:3" s="18" customFormat="1" x14ac:dyDescent="0.7">
      <c r="A120" s="19"/>
      <c r="B120" s="19"/>
      <c r="C120"/>
    </row>
    <row r="121" spans="1:3" s="18" customFormat="1" x14ac:dyDescent="0.7">
      <c r="A121" s="19"/>
      <c r="B121" s="19"/>
      <c r="C121"/>
    </row>
    <row r="122" spans="1:3" s="18" customFormat="1" x14ac:dyDescent="0.7">
      <c r="A122" s="19"/>
      <c r="B122" s="19"/>
      <c r="C122"/>
    </row>
    <row r="123" spans="1:3" s="18" customFormat="1" x14ac:dyDescent="0.7">
      <c r="A123" s="19"/>
      <c r="B123" s="19"/>
      <c r="C123"/>
    </row>
    <row r="124" spans="1:3" s="18" customFormat="1" x14ac:dyDescent="0.7">
      <c r="A124" s="19"/>
      <c r="B124" s="19"/>
      <c r="C124"/>
    </row>
    <row r="125" spans="1:3" s="18" customFormat="1" x14ac:dyDescent="0.7">
      <c r="A125" s="19"/>
      <c r="B125" s="19"/>
      <c r="C125"/>
    </row>
    <row r="126" spans="1:3" s="18" customFormat="1" x14ac:dyDescent="0.7">
      <c r="A126" s="19"/>
      <c r="B126" s="19"/>
      <c r="C126"/>
    </row>
    <row r="127" spans="1:3" s="18" customFormat="1" x14ac:dyDescent="0.7">
      <c r="A127" s="19"/>
      <c r="B127" s="19"/>
      <c r="C127"/>
    </row>
    <row r="128" spans="1:3" s="18" customFormat="1" x14ac:dyDescent="0.7">
      <c r="A128" s="19"/>
      <c r="B128" s="19"/>
      <c r="C128"/>
    </row>
    <row r="129" spans="1:3" s="18" customFormat="1" x14ac:dyDescent="0.7">
      <c r="A129" s="19"/>
      <c r="B129" s="19"/>
      <c r="C129"/>
    </row>
    <row r="130" spans="1:3" s="18" customFormat="1" x14ac:dyDescent="0.7">
      <c r="A130" s="19"/>
      <c r="B130" s="19"/>
      <c r="C130"/>
    </row>
    <row r="131" spans="1:3" s="18" customFormat="1" x14ac:dyDescent="0.7">
      <c r="A131" s="19"/>
      <c r="B131" s="19"/>
      <c r="C131"/>
    </row>
    <row r="132" spans="1:3" s="18" customFormat="1" x14ac:dyDescent="0.7">
      <c r="A132" s="19"/>
      <c r="B132" s="19"/>
      <c r="C132"/>
    </row>
    <row r="133" spans="1:3" s="18" customFormat="1" x14ac:dyDescent="0.7">
      <c r="A133" s="19"/>
      <c r="B133" s="19"/>
      <c r="C133"/>
    </row>
    <row r="134" spans="1:3" s="18" customFormat="1" x14ac:dyDescent="0.7">
      <c r="A134" s="19"/>
      <c r="B134" s="19"/>
      <c r="C134"/>
    </row>
    <row r="135" spans="1:3" s="18" customFormat="1" x14ac:dyDescent="0.7">
      <c r="A135" s="19"/>
      <c r="B135" s="19"/>
      <c r="C135"/>
    </row>
    <row r="136" spans="1:3" s="18" customFormat="1" x14ac:dyDescent="0.7">
      <c r="A136" s="19"/>
      <c r="B136" s="19"/>
      <c r="C136"/>
    </row>
    <row r="137" spans="1:3" s="18" customFormat="1" x14ac:dyDescent="0.7">
      <c r="A137" s="19"/>
      <c r="B137" s="19"/>
      <c r="C137"/>
    </row>
    <row r="138" spans="1:3" s="18" customFormat="1" x14ac:dyDescent="0.7">
      <c r="A138" s="19"/>
      <c r="B138" s="19"/>
      <c r="C138"/>
    </row>
    <row r="139" spans="1:3" s="18" customFormat="1" x14ac:dyDescent="0.7">
      <c r="A139" s="19"/>
      <c r="B139" s="19"/>
      <c r="C139"/>
    </row>
    <row r="140" spans="1:3" s="18" customFormat="1" x14ac:dyDescent="0.7">
      <c r="A140" s="19"/>
      <c r="B140" s="19"/>
      <c r="C140"/>
    </row>
    <row r="141" spans="1:3" s="18" customFormat="1" x14ac:dyDescent="0.7">
      <c r="A141" s="19"/>
      <c r="B141" s="19"/>
      <c r="C141"/>
    </row>
    <row r="142" spans="1:3" s="18" customFormat="1" x14ac:dyDescent="0.7">
      <c r="A142" s="19"/>
      <c r="B142" s="19"/>
      <c r="C142"/>
    </row>
    <row r="143" spans="1:3" s="18" customFormat="1" x14ac:dyDescent="0.7">
      <c r="A143" s="19"/>
      <c r="B143" s="19"/>
      <c r="C143"/>
    </row>
    <row r="144" spans="1:3" s="18" customFormat="1" x14ac:dyDescent="0.7">
      <c r="A144" s="19"/>
      <c r="B144" s="19"/>
      <c r="C144"/>
    </row>
    <row r="145" spans="1:3" s="18" customFormat="1" x14ac:dyDescent="0.7">
      <c r="A145" s="19"/>
      <c r="B145" s="19"/>
      <c r="C145"/>
    </row>
    <row r="146" spans="1:3" s="18" customFormat="1" x14ac:dyDescent="0.7">
      <c r="A146" s="19"/>
      <c r="B146" s="19"/>
      <c r="C146"/>
    </row>
    <row r="147" spans="1:3" s="18" customFormat="1" x14ac:dyDescent="0.7">
      <c r="A147" s="19"/>
      <c r="B147" s="19"/>
      <c r="C147"/>
    </row>
    <row r="148" spans="1:3" s="18" customFormat="1" x14ac:dyDescent="0.7">
      <c r="A148" s="19"/>
      <c r="B148" s="19"/>
      <c r="C148"/>
    </row>
    <row r="149" spans="1:3" s="18" customFormat="1" x14ac:dyDescent="0.7">
      <c r="A149" s="19"/>
      <c r="B149" s="19"/>
      <c r="C149"/>
    </row>
  </sheetData>
  <sortState xmlns:xlrd2="http://schemas.microsoft.com/office/spreadsheetml/2017/richdata2" ref="A2:C149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366713</xdr:colOff>
                    <xdr:row>0</xdr:row>
                    <xdr:rowOff>90488</xdr:rowOff>
                  </from>
                  <to>
                    <xdr:col>5</xdr:col>
                    <xdr:colOff>481013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ColWidth="8.8125" defaultRowHeight="17.649999999999999" x14ac:dyDescent="0.7"/>
  <cols>
    <col min="1" max="1" width="12.1875" bestFit="1" customWidth="1"/>
  </cols>
  <sheetData>
    <row r="1" spans="1:1" s="20" customFormat="1" x14ac:dyDescent="0.7">
      <c r="A1" s="20">
        <v>192202015</v>
      </c>
    </row>
    <row r="2" spans="1:1" s="20" customFormat="1" x14ac:dyDescent="0.7">
      <c r="A2" s="20">
        <v>232599444</v>
      </c>
    </row>
    <row r="3" spans="1:1" s="20" customFormat="1" x14ac:dyDescent="0.7"/>
    <row r="4" spans="1:1" s="20" customFormat="1" x14ac:dyDescent="0.7"/>
    <row r="6" spans="1:1" s="20" customFormat="1" x14ac:dyDescent="0.7"/>
    <row r="8" spans="1:1" s="20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2020-01-15T05:48:45Z</dcterms:modified>
</cp:coreProperties>
</file>