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5.xml" ContentType="application/vnd.ms-excel.controlproperties+xml"/>
  <Override PartName="/xl/drawings/drawing4.xml" ContentType="application/vnd.openxmlformats-officedocument.drawing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368E4E1A-4C3F-40C5-8007-976C6F650BB7}" xr6:coauthVersionLast="41" xr6:coauthVersionMax="45" xr10:uidLastSave="{00000000-0000-0000-0000-000000000000}"/>
  <bookViews>
    <workbookView xWindow="-98" yWindow="-98" windowWidth="24196" windowHeight="1309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INDEX(出力!$B$1:$B$1,MATCH(メイン!$O$1,出力!$A$1:$A$1,1))</definedName>
    <definedName name="sample2">INDEX(出力!$B$1:$B$1,MATCH(メイン!$P$1,出力!$A$1:$A$1,1))</definedName>
  </definedNames>
  <calcPr calcId="191029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2" i="4" l="1"/>
  <c r="L2" i="4" l="1"/>
  <c r="C13" i="4" l="1"/>
  <c r="C12" i="4"/>
  <c r="AC2" i="4"/>
  <c r="AE4" i="4" l="1"/>
  <c r="C21" i="4"/>
  <c r="E22" i="4" s="1"/>
  <c r="D4" i="4" s="1"/>
  <c r="D23" i="4" l="1"/>
  <c r="C5" i="4" s="1"/>
  <c r="F22" i="4"/>
  <c r="E4" i="4" s="1"/>
  <c r="J24" i="4"/>
  <c r="I6" i="4" s="1"/>
  <c r="G24" i="4"/>
  <c r="F6" i="4" s="1"/>
  <c r="F26" i="4"/>
  <c r="E8" i="4" s="1"/>
  <c r="H23" i="4"/>
  <c r="G5" i="4" s="1"/>
  <c r="I25" i="4"/>
  <c r="E23" i="4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E5" i="4" s="1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D5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G8" i="4"/>
  <c r="G7" i="4"/>
  <c r="H5" i="4"/>
  <c r="H4" i="4"/>
  <c r="G6" i="4"/>
  <c r="H7" i="4"/>
  <c r="C6" i="4"/>
</calcChain>
</file>

<file path=xl/sharedStrings.xml><?xml version="1.0" encoding="utf-8"?>
<sst xmlns="http://schemas.openxmlformats.org/spreadsheetml/2006/main" count="149" uniqueCount="96">
  <si>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</si>
  <si>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</si>
  <si>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</si>
  <si>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</si>
  <si>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</si>
  <si>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</si>
  <si>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</si>
  <si>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</si>
  <si>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</si>
  <si>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</si>
  <si>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</si>
  <si>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</si>
  <si>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</si>
  <si>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</si>
  <si>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</si>
  <si>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</si>
  <si>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</si>
  <si>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</si>
  <si>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</si>
  <si>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</si>
  <si>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</si>
  <si>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</si>
  <si>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</si>
  <si>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</si>
  <si>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</si>
  <si>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</si>
  <si>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</si>
  <si>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</si>
  <si>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</si>
  <si>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</si>
  <si>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</si>
  <si>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</si>
  <si>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</si>
  <si>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</si>
  <si>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</si>
  <si>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</si>
  <si>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</si>
  <si>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</si>
  <si>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</si>
  <si>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</si>
  <si>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</si>
  <si>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</si>
  <si>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</si>
  <si>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</si>
  <si>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</si>
  <si>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</si>
  <si>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</si>
  <si>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</si>
  <si>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</si>
  <si>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</si>
  <si>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</si>
  <si>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</si>
  <si>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</si>
  <si>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</si>
  <si>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</si>
  <si>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</si>
  <si>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</si>
  <si>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</si>
  <si>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</si>
  <si>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</si>
  <si>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</si>
  <si>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</si>
  <si>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</si>
  <si>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</si>
  <si>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</si>
  <si>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</si>
  <si>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</si>
  <si>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</si>
  <si>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</si>
  <si>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</si>
  <si>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</si>
  <si>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</si>
  <si>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</si>
  <si>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</si>
  <si>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</si>
  <si>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</si>
  <si>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</si>
  <si>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</si>
  <si>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</si>
  <si>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</si>
  <si>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</si>
  <si>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</si>
  <si>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</si>
  <si>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</si>
  <si>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</si>
  <si>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</si>
  <si>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</si>
  <si>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</si>
  <si>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</si>
  <si>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</si>
  <si>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開発</t>
    <rPh sb="0" eb="2">
      <t>カイハツ</t>
    </rPh>
    <phoneticPr fontId="1"/>
  </si>
  <si>
    <t>test</t>
    <phoneticPr fontId="1"/>
  </si>
  <si>
    <t>\Noimage.png</t>
  </si>
  <si>
    <t>testest</t>
    <phoneticPr fontId="1"/>
  </si>
  <si>
    <t>on</t>
    <phoneticPr fontId="1"/>
  </si>
  <si>
    <t>off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</si>
</sst>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68492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1" xfId="0" applyBorder="1">
      <alignment vertical="center"/>
    </xf>
    <xf numFmtId="0" fontId="0" fillId="0" borderId="0" xfId="0" applyAlignment="1"/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1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2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6</xdr:row>
          <xdr:rowOff>433388</xdr:rowOff>
        </xdr:from>
        <xdr:to>
          <xdr:col>18</xdr:col>
          <xdr:colOff>328613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3</xdr:row>
          <xdr:rowOff>61913</xdr:rowOff>
        </xdr:from>
        <xdr:to>
          <xdr:col>18</xdr:col>
          <xdr:colOff>290513</xdr:colOff>
          <xdr:row>4</xdr:row>
          <xdr:rowOff>23813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138113</xdr:rowOff>
        </xdr:from>
        <xdr:to>
          <xdr:col>23</xdr:col>
          <xdr:colOff>547688</xdr:colOff>
          <xdr:row>4</xdr:row>
          <xdr:rowOff>776288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609600</xdr:colOff>
          <xdr:row>7</xdr:row>
          <xdr:rowOff>571500</xdr:rowOff>
        </xdr:from>
        <xdr:to>
          <xdr:col>18</xdr:col>
          <xdr:colOff>319088</xdr:colOff>
          <xdr:row>9</xdr:row>
          <xdr:rowOff>304800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3674" y="925921"/>
          <a:ext cx="9453183" cy="4836705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47107" y="967843"/>
          <a:ext cx="9429750" cy="4810659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840" y="1306286"/>
          <a:ext cx="882111" cy="448118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623718" y="1307344"/>
          <a:ext cx="2598685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44611" y="7224662"/>
          <a:ext cx="2884297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23813</xdr:rowOff>
        </xdr:from>
        <xdr:to>
          <xdr:col>24</xdr:col>
          <xdr:colOff>495300</xdr:colOff>
          <xdr:row>19</xdr:row>
          <xdr:rowOff>214313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571500</xdr:colOff>
          <xdr:row>5</xdr:row>
          <xdr:rowOff>366713</xdr:rowOff>
        </xdr:from>
        <xdr:to>
          <xdr:col>18</xdr:col>
          <xdr:colOff>319088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90488</xdr:rowOff>
        </xdr:from>
        <xdr:to>
          <xdr:col>23</xdr:col>
          <xdr:colOff>571500</xdr:colOff>
          <xdr:row>15</xdr:row>
          <xdr:rowOff>266700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38100</xdr:rowOff>
        </xdr:from>
        <xdr:to>
          <xdr:col>15</xdr:col>
          <xdr:colOff>138113</xdr:colOff>
          <xdr:row>3</xdr:row>
          <xdr:rowOff>433388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3</xdr:row>
          <xdr:rowOff>571500</xdr:rowOff>
        </xdr:from>
        <xdr:to>
          <xdr:col>15</xdr:col>
          <xdr:colOff>204788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4</xdr:row>
          <xdr:rowOff>190500</xdr:rowOff>
        </xdr:from>
        <xdr:to>
          <xdr:col>15</xdr:col>
          <xdr:colOff>204788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4</xdr:row>
          <xdr:rowOff>738188</xdr:rowOff>
        </xdr:from>
        <xdr:to>
          <xdr:col>15</xdr:col>
          <xdr:colOff>190500</xdr:colOff>
          <xdr:row>5</xdr:row>
          <xdr:rowOff>242888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357188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762000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319088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1014413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8</xdr:row>
          <xdr:rowOff>152400</xdr:rowOff>
        </xdr:from>
        <xdr:to>
          <xdr:col>15</xdr:col>
          <xdr:colOff>166688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11</xdr:row>
          <xdr:rowOff>328613</xdr:rowOff>
        </xdr:from>
        <xdr:to>
          <xdr:col>14</xdr:col>
          <xdr:colOff>557213</xdr:colOff>
          <xdr:row>12</xdr:row>
          <xdr:rowOff>290513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228600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14</xdr:col>
          <xdr:colOff>557213</xdr:colOff>
          <xdr:row>13</xdr:row>
          <xdr:rowOff>366713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パスコードの追加／削除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138113</xdr:rowOff>
        </xdr:from>
        <xdr:to>
          <xdr:col>18</xdr:col>
          <xdr:colOff>280988</xdr:colOff>
          <xdr:row>4</xdr:row>
          <xdr:rowOff>890588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61913</xdr:rowOff>
        </xdr:from>
        <xdr:to>
          <xdr:col>23</xdr:col>
          <xdr:colOff>495300</xdr:colOff>
          <xdr:row>9</xdr:row>
          <xdr:rowOff>114300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14</xdr:row>
          <xdr:rowOff>138113</xdr:rowOff>
        </xdr:from>
        <xdr:to>
          <xdr:col>14</xdr:col>
          <xdr:colOff>547688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18</xdr:col>
      <xdr:colOff>409575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6877" y="6738807"/>
          <a:ext cx="4431373" cy="2108859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61913</xdr:colOff>
          <xdr:row>12</xdr:row>
          <xdr:rowOff>23813</xdr:rowOff>
        </xdr:from>
        <xdr:to>
          <xdr:col>17</xdr:col>
          <xdr:colOff>661988</xdr:colOff>
          <xdr:row>12</xdr:row>
          <xdr:rowOff>366713</xdr:rowOff>
        </xdr:to>
        <xdr:sp macro="" textlink="">
          <xdr:nvSpPr>
            <xdr:cNvPr id="2829" name="Button 781" hidden="1">
              <a:extLst>
                <a:ext uri="{63B3BB69-23CF-44E3-9099-C40C66FF867C}">
                  <a14:compatExt spid="_x0000_s2829"/>
                </a:ext>
                <a:ext uri="{FF2B5EF4-FFF2-40B4-BE49-F238E27FC236}">
                  <a16:creationId xmlns:a16="http://schemas.microsoft.com/office/drawing/2014/main" id="{00000000-0008-0000-0000-00000D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定期セーブon/off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2830" name="Picture 782">
          <a:extLst>
            <a:ext uri="{FF2B5EF4-FFF2-40B4-BE49-F238E27FC236}">
              <a16:creationId xmlns:a16="http://schemas.microsoft.com/office/drawing/2014/main" id="{3C8D10D7-5004-41D5-8FC7-01C983EC08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2388" y="2195513"/>
          <a:ext cx="3105150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1395174</xdr:colOff>
      <xdr:row>0</xdr:row>
      <xdr:rowOff>45720</xdr:rowOff>
    </xdr:from>
    <xdr:to>
      <xdr:col>1</xdr:col>
      <xdr:colOff>2945368</xdr:colOff>
      <xdr:row>0</xdr:row>
      <xdr:rowOff>1760220</xdr:rowOff>
    </xdr:to>
    <xdr:sp macro="" textlink="">
      <xdr:nvSpPr>
        <xdr:cNvPr id="145" name="テキスト ボックス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 txBox="1"/>
      </xdr:nvSpPr>
      <xdr:spPr>
        <a:xfrm>
          <a:off x="2066687" y="4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0
0
0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1</xdr:colOff>
      <xdr:row>1</xdr:row>
      <xdr:rowOff>0</xdr:rowOff>
    </xdr:to>
    <xdr:sp macro="" textlink="">
      <xdr:nvSpPr>
        <xdr:cNvPr id="146" name="テキスト ボックス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 txBox="1"/>
      </xdr:nvSpPr>
      <xdr:spPr>
        <a:xfrm>
          <a:off x="671513" y="125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0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0</xdr:row>
      <xdr:rowOff>114300</xdr:rowOff>
    </xdr:from>
    <xdr:to>
      <xdr:col>1</xdr:col>
      <xdr:colOff>1214294</xdr:colOff>
      <xdr:row>0</xdr:row>
      <xdr:rowOff>1261442</xdr:rowOff>
    </xdr:to>
    <xdr:pic>
      <xdr:nvPicPr>
        <xdr:cNvPr id="148" name="図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1</xdr:row>
      <xdr:rowOff>45720</xdr:rowOff>
    </xdr:from>
    <xdr:to>
      <xdr:col>1</xdr:col>
      <xdr:colOff>2945368</xdr:colOff>
      <xdr:row>1</xdr:row>
      <xdr:rowOff>1760220</xdr:rowOff>
    </xdr:to>
    <xdr:sp macro="" textlink="">
      <xdr:nvSpPr>
        <xdr:cNvPr id="206" name="テキスト ボックス 205">
          <a:extLs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 txBox="1"/>
      </xdr:nvSpPr>
      <xdr:spPr>
        <a:xfrm>
          <a:off x="2066687" y="233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1</xdr:colOff>
      <xdr:row>2</xdr:row>
      <xdr:rowOff>0</xdr:rowOff>
    </xdr:to>
    <xdr:sp macro="" textlink="">
      <xdr:nvSpPr>
        <xdr:cNvPr id="207" name="テキスト ボックス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SpPr txBox="1"/>
      </xdr:nvSpPr>
      <xdr:spPr>
        <a:xfrm>
          <a:off x="671513" y="354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1</xdr:row>
      <xdr:rowOff>114300</xdr:rowOff>
    </xdr:from>
    <xdr:to>
      <xdr:col>1</xdr:col>
      <xdr:colOff>1214294</xdr:colOff>
      <xdr:row>1</xdr:row>
      <xdr:rowOff>1261442</xdr:rowOff>
    </xdr:to>
    <xdr:pic>
      <xdr:nvPicPr>
        <xdr:cNvPr id="209" name="図 208">
          <a:extLs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2400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2</xdr:row>
      <xdr:rowOff>45720</xdr:rowOff>
    </xdr:from>
    <xdr:to>
      <xdr:col>1</xdr:col>
      <xdr:colOff>2945368</xdr:colOff>
      <xdr:row>2</xdr:row>
      <xdr:rowOff>1760220</xdr:rowOff>
    </xdr:to>
    <xdr:sp macro="" textlink="">
      <xdr:nvSpPr>
        <xdr:cNvPr id="210" name="テキスト ボックス 209">
          <a:extLs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 txBox="1"/>
      </xdr:nvSpPr>
      <xdr:spPr>
        <a:xfrm>
          <a:off x="2066687" y="4617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1</xdr:colOff>
      <xdr:row>3</xdr:row>
      <xdr:rowOff>0</xdr:rowOff>
    </xdr:to>
    <xdr:sp macro="" textlink="">
      <xdr:nvSpPr>
        <xdr:cNvPr id="211" name="テキスト ボックス 210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SpPr txBox="1"/>
      </xdr:nvSpPr>
      <xdr:spPr>
        <a:xfrm>
          <a:off x="671513" y="5829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2</xdr:row>
      <xdr:rowOff>114300</xdr:rowOff>
    </xdr:from>
    <xdr:to>
      <xdr:col>1</xdr:col>
      <xdr:colOff>1214294</xdr:colOff>
      <xdr:row>2</xdr:row>
      <xdr:rowOff>1261442</xdr:rowOff>
    </xdr:to>
    <xdr:pic>
      <xdr:nvPicPr>
        <xdr:cNvPr id="213" name="図 212">
          <a:extLs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4686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3</xdr:row>
      <xdr:rowOff>45720</xdr:rowOff>
    </xdr:from>
    <xdr:to>
      <xdr:col>1</xdr:col>
      <xdr:colOff>2945368</xdr:colOff>
      <xdr:row>3</xdr:row>
      <xdr:rowOff>1760220</xdr:rowOff>
    </xdr:to>
    <xdr:sp macro="" textlink="">
      <xdr:nvSpPr>
        <xdr:cNvPr id="214" name="テキスト ボックス 213">
          <a:extLs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 txBox="1"/>
      </xdr:nvSpPr>
      <xdr:spPr>
        <a:xfrm>
          <a:off x="2066687" y="6903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1</xdr:colOff>
      <xdr:row>4</xdr:row>
      <xdr:rowOff>0</xdr:rowOff>
    </xdr:to>
    <xdr:sp macro="" textlink="">
      <xdr:nvSpPr>
        <xdr:cNvPr id="215" name="テキスト ボックス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SpPr txBox="1"/>
      </xdr:nvSpPr>
      <xdr:spPr>
        <a:xfrm>
          <a:off x="671513" y="8115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3</xdr:row>
      <xdr:rowOff>114300</xdr:rowOff>
    </xdr:from>
    <xdr:to>
      <xdr:col>1</xdr:col>
      <xdr:colOff>1214294</xdr:colOff>
      <xdr:row>3</xdr:row>
      <xdr:rowOff>1261442</xdr:rowOff>
    </xdr:to>
    <xdr:pic>
      <xdr:nvPicPr>
        <xdr:cNvPr id="217" name="図 216">
          <a:extLs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6972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4</xdr:row>
      <xdr:rowOff>45720</xdr:rowOff>
    </xdr:from>
    <xdr:to>
      <xdr:col>1</xdr:col>
      <xdr:colOff>2945368</xdr:colOff>
      <xdr:row>4</xdr:row>
      <xdr:rowOff>1760220</xdr:rowOff>
    </xdr:to>
    <xdr:sp macro="" textlink="">
      <xdr:nvSpPr>
        <xdr:cNvPr id="218" name="テキスト ボックス 217">
          <a:extLs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 txBox="1"/>
      </xdr:nvSpPr>
      <xdr:spPr>
        <a:xfrm>
          <a:off x="2066687" y="9189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1</xdr:colOff>
      <xdr:row>5</xdr:row>
      <xdr:rowOff>0</xdr:rowOff>
    </xdr:to>
    <xdr:sp macro="" textlink="">
      <xdr:nvSpPr>
        <xdr:cNvPr id="219" name="テキスト ボックス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SpPr txBox="1"/>
      </xdr:nvSpPr>
      <xdr:spPr>
        <a:xfrm>
          <a:off x="671513" y="10401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4</xdr:row>
      <xdr:rowOff>114300</xdr:rowOff>
    </xdr:from>
    <xdr:to>
      <xdr:col>1</xdr:col>
      <xdr:colOff>1214294</xdr:colOff>
      <xdr:row>4</xdr:row>
      <xdr:rowOff>1261442</xdr:rowOff>
    </xdr:to>
    <xdr:pic>
      <xdr:nvPicPr>
        <xdr:cNvPr id="221" name="図 22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9258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5</xdr:row>
      <xdr:rowOff>45720</xdr:rowOff>
    </xdr:from>
    <xdr:to>
      <xdr:col>1</xdr:col>
      <xdr:colOff>2945368</xdr:colOff>
      <xdr:row>5</xdr:row>
      <xdr:rowOff>1760220</xdr:rowOff>
    </xdr:to>
    <xdr:sp macro="" textlink="">
      <xdr:nvSpPr>
        <xdr:cNvPr id="222" name="テキスト ボックス 221">
          <a:extLst>
            <a:ext uri="{FF2B5EF4-FFF2-40B4-BE49-F238E27FC236}">
              <a16:creationId xmlns:a16="http://schemas.microsoft.com/office/drawing/2014/main" id="{00000000-0008-0000-0100-0000DE000000}"/>
            </a:ext>
          </a:extLst>
        </xdr:cNvPr>
        <xdr:cNvSpPr txBox="1"/>
      </xdr:nvSpPr>
      <xdr:spPr>
        <a:xfrm>
          <a:off x="2066687" y="11475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1</xdr:colOff>
      <xdr:row>6</xdr:row>
      <xdr:rowOff>0</xdr:rowOff>
    </xdr:to>
    <xdr:sp macro="" textlink="">
      <xdr:nvSpPr>
        <xdr:cNvPr id="223" name="テキスト ボックス 222">
          <a:extLst>
            <a:ext uri="{FF2B5EF4-FFF2-40B4-BE49-F238E27FC236}">
              <a16:creationId xmlns:a16="http://schemas.microsoft.com/office/drawing/2014/main" id="{00000000-0008-0000-0100-0000DF000000}"/>
            </a:ext>
          </a:extLst>
        </xdr:cNvPr>
        <xdr:cNvSpPr txBox="1"/>
      </xdr:nvSpPr>
      <xdr:spPr>
        <a:xfrm>
          <a:off x="671513" y="12687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5</xdr:row>
      <xdr:rowOff>114300</xdr:rowOff>
    </xdr:from>
    <xdr:to>
      <xdr:col>1</xdr:col>
      <xdr:colOff>1214294</xdr:colOff>
      <xdr:row>5</xdr:row>
      <xdr:rowOff>1261442</xdr:rowOff>
    </xdr:to>
    <xdr:pic>
      <xdr:nvPicPr>
        <xdr:cNvPr id="225" name="図 224">
          <a:extLst>
            <a:ext uri="{FF2B5EF4-FFF2-40B4-BE49-F238E27FC236}">
              <a16:creationId xmlns:a16="http://schemas.microsoft.com/office/drawing/2014/main" id="{00000000-0008-0000-01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1544300"/>
          <a:ext cx="1147143" cy="1147142"/>
        </a:xfrm>
        <a:prstGeom prst="ellipse">
          <a:avLst/>
        </a:prstGeom>
      </xdr:spPr>
    </xdr:pic>
    <xdr:clientData/>
  </xdr:twoCellAnchor>
  <xdr:twoCellAnchor>
    <xdr:from>
      <xdr:col>1</xdr:col>
      <xdr:colOff>1395174</xdr:colOff>
      <xdr:row>6</xdr:row>
      <xdr:rowOff>45720</xdr:rowOff>
    </xdr:from>
    <xdr:to>
      <xdr:col>1</xdr:col>
      <xdr:colOff>2945368</xdr:colOff>
      <xdr:row>6</xdr:row>
      <xdr:rowOff>1760220</xdr:rowOff>
    </xdr:to>
    <xdr:sp macro="" textlink="">
      <xdr:nvSpPr>
        <xdr:cNvPr id="226" name="テキスト ボックス 225">
          <a:extLst>
            <a:ext uri="{FF2B5EF4-FFF2-40B4-BE49-F238E27FC236}">
              <a16:creationId xmlns:a16="http://schemas.microsoft.com/office/drawing/2014/main" id="{00000000-0008-0000-0100-0000E2000000}"/>
            </a:ext>
          </a:extLst>
        </xdr:cNvPr>
        <xdr:cNvSpPr txBox="1"/>
      </xdr:nvSpPr>
      <xdr:spPr>
        <a:xfrm>
          <a:off x="2066687" y="13761720"/>
          <a:ext cx="1550194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test
test
test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1</xdr:colOff>
      <xdr:row>7</xdr:row>
      <xdr:rowOff>0</xdr:rowOff>
    </xdr:to>
    <xdr:sp macro="" textlink="">
      <xdr:nvSpPr>
        <xdr:cNvPr id="227" name="テキスト ボックス 226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SpPr txBox="1"/>
      </xdr:nvSpPr>
      <xdr:spPr>
        <a:xfrm>
          <a:off x="671513" y="14973300"/>
          <a:ext cx="3100388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>
              <a:latin typeface="源ノ角ゴシック JP" panose="020B0500000000000000" pitchFamily="34" charset="-128"/>
            </a:rPr>
            <a:t>testest</a:t>
          </a:r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67151</xdr:colOff>
      <xdr:row>6</xdr:row>
      <xdr:rowOff>114300</xdr:rowOff>
    </xdr:from>
    <xdr:to>
      <xdr:col>1</xdr:col>
      <xdr:colOff>1214294</xdr:colOff>
      <xdr:row>6</xdr:row>
      <xdr:rowOff>1261442</xdr:rowOff>
    </xdr:to>
    <xdr:pic>
      <xdr:nvPicPr>
        <xdr:cNvPr id="229" name="図 228">
          <a:extLst>
            <a:ext uri="{FF2B5EF4-FFF2-40B4-BE49-F238E27FC236}">
              <a16:creationId xmlns:a16="http://schemas.microsoft.com/office/drawing/2014/main" id="{00000000-0008-0000-0100-0000E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38664" y="13830300"/>
          <a:ext cx="1147143" cy="1147142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138113</xdr:rowOff>
        </xdr:from>
        <xdr:to>
          <xdr:col>8</xdr:col>
          <xdr:colOff>585788</xdr:colOff>
          <xdr:row>2</xdr:row>
          <xdr:rowOff>14288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366713</xdr:colOff>
          <xdr:row>0</xdr:row>
          <xdr:rowOff>90488</xdr:rowOff>
        </xdr:from>
        <xdr:to>
          <xdr:col>5</xdr:col>
          <xdr:colOff>481013</xdr:colOff>
          <xdr:row>2</xdr:row>
          <xdr:rowOff>100013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tabSelected="1" defaultGridColor="0" colorId="63" zoomScale="70" zoomScaleNormal="70" workbookViewId="0">
      <selection activeCell="H20" sqref="H20"/>
    </sheetView>
  </sheetViews>
  <sheetFormatPr defaultColWidth="8.8125" defaultRowHeight="17.649999999999999" x14ac:dyDescent="0.7"/>
  <cols>
    <col min="1" max="1" width="6" customWidth="1"/>
    <col min="2" max="2" width="11.6875" customWidth="1"/>
    <col min="3" max="9" width="17.6875" customWidth="1"/>
    <col min="10" max="10" width="9.1875" customWidth="1"/>
    <col min="11" max="11" width="22.8125" customWidth="1"/>
    <col min="12" max="12" width="23.5" customWidth="1"/>
    <col min="13" max="13" width="13.1875" customWidth="1"/>
    <col min="14" max="14" width="15.5" customWidth="1"/>
    <col min="27" max="35" width="10.6875" customWidth="1"/>
    <col min="36" max="36" width="11.5" customWidth="1"/>
  </cols>
  <sheetData>
    <row r="1" spans="1:36" ht="31.05" customHeight="1" x14ac:dyDescent="1">
      <c r="B1" s="9"/>
      <c r="C1" s="20"/>
      <c r="K1" s="31" t="s">
        <v>22</v>
      </c>
      <c r="L1" s="32" t="s">
        <v>65</v>
      </c>
    </row>
    <row r="2" spans="1:36" ht="47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49">
        <f ca="1">TODAY()</f>
        <v>43804</v>
      </c>
      <c r="L2" s="50">
        <f ca="1">NOW()-INT(NOW())</f>
        <v>0.45339398147916654</v>
      </c>
      <c r="N2" s="46" t="s">
        <v>85</v>
      </c>
      <c r="U2" s="39"/>
      <c r="AA2" s="36" t="s">
        <v>72</v>
      </c>
      <c r="AB2" s="37"/>
      <c r="AC2" s="34">
        <f ca="1">setting_time(L2)</f>
        <v>2</v>
      </c>
    </row>
    <row r="3" spans="1:36" ht="25.2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49"/>
      <c r="L3" s="50"/>
      <c r="N3" s="51" t="s">
        <v>86</v>
      </c>
      <c r="O3" s="51"/>
      <c r="P3" s="12"/>
      <c r="Q3" t="s">
        <v>87</v>
      </c>
      <c r="T3" t="s">
        <v>88</v>
      </c>
    </row>
    <row r="4" spans="1:36" ht="70.25" customHeight="1" x14ac:dyDescent="0.7">
      <c r="A4" s="10"/>
      <c r="B4" s="13">
        <v>1</v>
      </c>
      <c r="C4" s="47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7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7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7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7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7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47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4" t="s">
        <v>94</v>
      </c>
      <c r="U4" s="36"/>
      <c r="V4" s="37"/>
      <c r="W4" s="37"/>
      <c r="X4" s="38"/>
      <c r="Z4" s="36" t="s">
        <v>73</v>
      </c>
      <c r="AA4" s="37"/>
      <c r="AB4" s="37" t="s">
        <v>74</v>
      </c>
      <c r="AC4" s="37"/>
      <c r="AD4" s="37"/>
      <c r="AE4" s="34">
        <f ca="1">AC2</f>
        <v>2</v>
      </c>
    </row>
    <row r="5" spans="1:36" ht="70.25" customHeight="1" x14ac:dyDescent="0.7">
      <c r="A5" s="27"/>
      <c r="B5" s="13">
        <v>2</v>
      </c>
      <c r="C5" s="47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7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7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7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7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7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47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4" t="s">
        <v>64</v>
      </c>
      <c r="U5" s="36"/>
      <c r="V5" s="37"/>
      <c r="W5" s="37"/>
      <c r="X5" s="38"/>
      <c r="Z5" s="34" t="s">
        <v>69</v>
      </c>
      <c r="AA5" s="34" t="s">
        <v>75</v>
      </c>
      <c r="AB5" s="34" t="s">
        <v>76</v>
      </c>
      <c r="AC5" s="34" t="s">
        <v>77</v>
      </c>
      <c r="AD5" s="34" t="s">
        <v>78</v>
      </c>
      <c r="AE5" s="34" t="s">
        <v>79</v>
      </c>
      <c r="AF5" s="34" t="s">
        <v>80</v>
      </c>
      <c r="AG5" s="34" t="s">
        <v>81</v>
      </c>
      <c r="AH5" s="34" t="s">
        <v>82</v>
      </c>
      <c r="AI5" s="34" t="s">
        <v>83</v>
      </c>
      <c r="AJ5" s="34" t="s">
        <v>84</v>
      </c>
    </row>
    <row r="6" spans="1:36" ht="70.25" customHeight="1" x14ac:dyDescent="0.7">
      <c r="A6" s="27"/>
      <c r="B6" s="13">
        <v>3</v>
      </c>
      <c r="C6" s="47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7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7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7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7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7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47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/>
      </c>
      <c r="K6" s="29"/>
      <c r="L6" s="29"/>
      <c r="T6" s="35" t="s">
        <v>71</v>
      </c>
      <c r="Z6" s="34">
        <v>1</v>
      </c>
      <c r="AA6" s="34" t="str">
        <f ca="1">IFERROR(IF(INDEX(生データ!$D:$D,MATCH(OFFSET($D$22,$Z6-1,$AE$4-1),生データ!$D:$D,1))=OFFSET($D$22,$Z6-1,$AE$4-1),VLOOKUP(OFFSET($D$22,$Z6-1,$AE$4-1),生データ!$D:$O,COLUMN(C1),TRUE),""),"")</f>
        <v/>
      </c>
      <c r="AB6" s="34" t="str">
        <f ca="1">IFERROR(IF(INDEX(生データ!$D:$D,MATCH(OFFSET($D$22,$Z6-1,$AE$4-1),生データ!$D:$D,1))=OFFSET($D$22,$Z6-1,$AE$4-1),VLOOKUP(OFFSET($D$22,$Z6-1,$AE$4-1),生データ!$D:$O,COLUMN(D1),TRUE),""),"")</f>
        <v/>
      </c>
      <c r="AC6" s="34" t="str">
        <f ca="1">IFERROR(IF(INDEX(生データ!$D:$D,MATCH(OFFSET($D$22,$Z6-1,$AE$4-1),生データ!$D:$D,1))=OFFSET($D$22,$Z6-1,$AE$4-1),VLOOKUP(OFFSET($D$22,$Z6-1,$AE$4-1),生データ!$D:$O,COLUMN(E1),TRUE),""),"")</f>
        <v/>
      </c>
      <c r="AD6" s="34" t="str">
        <f ca="1">IFERROR(IF(INDEX(生データ!$D:$D,MATCH(OFFSET($D$22,$Z6-1,$AE$4-1),生データ!$D:$D,1))=OFFSET($D$22,$Z6-1,$AE$4-1),VLOOKUP(OFFSET($D$22,$Z6-1,$AE$4-1),生データ!$D:$O,COLUMN(F1),TRUE),""),"")</f>
        <v/>
      </c>
      <c r="AE6" s="34" t="str">
        <f ca="1">IFERROR(IF(INDEX(生データ!$D:$D,MATCH(OFFSET($D$22,$Z6-1,$AE$4-1),生データ!$D:$D,1))=OFFSET($D$22,$Z6-1,$AE$4-1),VLOOKUP(OFFSET($D$22,$Z6-1,$AE$4-1),生データ!$D:$O,COLUMN(G1),TRUE),""),"")</f>
        <v/>
      </c>
      <c r="AF6" s="34" t="str">
        <f ca="1">IFERROR(IF(INDEX(生データ!$D:$D,MATCH(OFFSET($D$22,$Z6-1,$AE$4-1),生データ!$D:$D,1))=OFFSET($D$22,$Z6-1,$AE$4-1),VLOOKUP(OFFSET($D$22,$Z6-1,$AE$4-1),生データ!$D:$O,COLUMN(H1),TRUE),""),"")</f>
        <v/>
      </c>
      <c r="AG6" s="34" t="str">
        <f ca="1">IFERROR(IF(INDEX(生データ!$D:$D,MATCH(OFFSET($D$22,$Z6-1,$AE$4-1),生データ!$D:$D,1))=OFFSET($D$22,$Z6-1,$AE$4-1),VLOOKUP(OFFSET($D$22,$Z6-1,$AE$4-1),生データ!$D:$O,COLUMN(I1),TRUE),""),"")</f>
        <v/>
      </c>
      <c r="AH6" s="34" t="str">
        <f ca="1">IFERROR(IF(INDEX(生データ!$D:$D,MATCH(OFFSET($D$22,$Z6-1,$AE$4-1),生データ!$D:$D,1))=OFFSET($D$22,$Z6-1,$AE$4-1),VLOOKUP(OFFSET($D$22,$Z6-1,$AE$4-1),生データ!$D:$O,COLUMN(J1),TRUE),""),"")</f>
        <v/>
      </c>
      <c r="AI6" s="34" t="str">
        <f ca="1">IFERROR(IF(INDEX(生データ!$D:$D,MATCH(OFFSET($D$22,$Z6-1,$AE$4-1),生データ!$D:$D,1))=OFFSET($D$22,$Z6-1,$AE$4-1),VLOOKUP(OFFSET($D$22,$Z6-1,$AE$4-1),生データ!$D:$O,COLUMN(K1),TRUE),""),"")</f>
        <v/>
      </c>
      <c r="AJ6" s="34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25" customHeight="1" x14ac:dyDescent="0.7">
      <c r="A7" s="27"/>
      <c r="B7" s="13">
        <v>4</v>
      </c>
      <c r="C7" s="47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7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7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8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7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7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47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4"/>
      <c r="U7" s="34"/>
      <c r="V7" s="34"/>
      <c r="W7" s="34"/>
      <c r="X7" s="34"/>
      <c r="Z7" s="34">
        <v>2</v>
      </c>
      <c r="AA7" s="34" t="str">
        <f ca="1">IFERROR(IF(INDEX(生データ!$D:$D,MATCH(OFFSET($D$22,$Z7-1,$AE$4-1),生データ!$D:$D,1))=OFFSET($D$22,$Z7-1,$AE$4-1),VLOOKUP(OFFSET($D$22,$Z7-1,$AE$4-1),生データ!$D:$O,COLUMN(C2),TRUE),""),"")</f>
        <v/>
      </c>
      <c r="AB7" s="34" t="str">
        <f ca="1">IFERROR(IF(INDEX(生データ!$D:$D,MATCH(OFFSET($D$22,$Z7-1,$AE$4-1),生データ!$D:$D,1))=OFFSET($D$22,$Z7-1,$AE$4-1),VLOOKUP(OFFSET($D$22,$Z7-1,$AE$4-1),生データ!$D:$O,COLUMN(D2),TRUE),""),"")</f>
        <v/>
      </c>
      <c r="AC7" s="34" t="str">
        <f ca="1">IFERROR(IF(INDEX(生データ!$D:$D,MATCH(OFFSET($D$22,$Z7-1,$AE$4-1),生データ!$D:$D,1))=OFFSET($D$22,$Z7-1,$AE$4-1),VLOOKUP(OFFSET($D$22,$Z7-1,$AE$4-1),生データ!$D:$O,COLUMN(E2),TRUE),""),"")</f>
        <v/>
      </c>
      <c r="AD7" s="34" t="str">
        <f ca="1">IFERROR(IF(INDEX(生データ!$D:$D,MATCH(OFFSET($D$22,$Z7-1,$AE$4-1),生データ!$D:$D,1))=OFFSET($D$22,$Z7-1,$AE$4-1),VLOOKUP(OFFSET($D$22,$Z7-1,$AE$4-1),生データ!$D:$O,COLUMN(F2),TRUE),""),"")</f>
        <v/>
      </c>
      <c r="AE7" s="34" t="str">
        <f ca="1">IFERROR(IF(INDEX(生データ!$D:$D,MATCH(OFFSET($D$22,$Z7-1,$AE$4-1),生データ!$D:$D,1))=OFFSET($D$22,$Z7-1,$AE$4-1),VLOOKUP(OFFSET($D$22,$Z7-1,$AE$4-1),生データ!$D:$O,COLUMN(G2),TRUE),""),"")</f>
        <v/>
      </c>
      <c r="AF7" s="34" t="str">
        <f ca="1">IFERROR(IF(INDEX(生データ!$D:$D,MATCH(OFFSET($D$22,$Z7-1,$AE$4-1),生データ!$D:$D,1))=OFFSET($D$22,$Z7-1,$AE$4-1),VLOOKUP(OFFSET($D$22,$Z7-1,$AE$4-1),生データ!$D:$O,COLUMN(H2),TRUE),""),"")</f>
        <v/>
      </c>
      <c r="AG7" s="34" t="str">
        <f ca="1">IFERROR(IF(INDEX(生データ!$D:$D,MATCH(OFFSET($D$22,$Z7-1,$AE$4-1),生データ!$D:$D,1))=OFFSET($D$22,$Z7-1,$AE$4-1),VLOOKUP(OFFSET($D$22,$Z7-1,$AE$4-1),生データ!$D:$O,COLUMN(I2),TRUE),""),"")</f>
        <v/>
      </c>
      <c r="AH7" s="34" t="str">
        <f ca="1">IFERROR(IF(INDEX(生データ!$D:$D,MATCH(OFFSET($D$22,$Z7-1,$AE$4-1),生データ!$D:$D,1))=OFFSET($D$22,$Z7-1,$AE$4-1),VLOOKUP(OFFSET($D$22,$Z7-1,$AE$4-1),生データ!$D:$O,COLUMN(J2),TRUE),""),"")</f>
        <v/>
      </c>
      <c r="AI7" s="34" t="str">
        <f ca="1">IFERROR(IF(INDEX(生データ!$D:$D,MATCH(OFFSET($D$22,$Z7-1,$AE$4-1),生データ!$D:$D,1))=OFFSET($D$22,$Z7-1,$AE$4-1),VLOOKUP(OFFSET($D$22,$Z7-1,$AE$4-1),生データ!$D:$O,COLUMN(K2),TRUE),""),"")</f>
        <v/>
      </c>
      <c r="AJ7" s="34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25" customHeight="1" x14ac:dyDescent="0.7">
      <c r="A8" s="12"/>
      <c r="B8" s="13">
        <v>5</v>
      </c>
      <c r="C8" s="47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7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7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7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7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7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47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4">
        <v>3</v>
      </c>
      <c r="AA8" s="34" t="str">
        <f ca="1">IFERROR(IF(INDEX(生データ!$D:$D,MATCH(OFFSET($D$22,$Z8-1,$AE$4-1),生データ!$D:$D,1))=OFFSET($D$22,$Z8-1,$AE$4-1),VLOOKUP(OFFSET($D$22,$Z8-1,$AE$4-1),生データ!$D:$O,COLUMN(C3),TRUE),""),"")</f>
        <v/>
      </c>
      <c r="AB8" s="34" t="str">
        <f ca="1">IFERROR(IF(INDEX(生データ!$D:$D,MATCH(OFFSET($D$22,$Z8-1,$AE$4-1),生データ!$D:$D,1))=OFFSET($D$22,$Z8-1,$AE$4-1),VLOOKUP(OFFSET($D$22,$Z8-1,$AE$4-1),生データ!$D:$O,COLUMN(D3),TRUE),""),"")</f>
        <v/>
      </c>
      <c r="AC8" s="34" t="str">
        <f ca="1">IFERROR(IF(INDEX(生データ!$D:$D,MATCH(OFFSET($D$22,$Z8-1,$AE$4-1),生データ!$D:$D,1))=OFFSET($D$22,$Z8-1,$AE$4-1),VLOOKUP(OFFSET($D$22,$Z8-1,$AE$4-1),生データ!$D:$O,COLUMN(E3),TRUE),""),"")</f>
        <v/>
      </c>
      <c r="AD8" s="34" t="str">
        <f ca="1">IFERROR(IF(INDEX(生データ!$D:$D,MATCH(OFFSET($D$22,$Z8-1,$AE$4-1),生データ!$D:$D,1))=OFFSET($D$22,$Z8-1,$AE$4-1),VLOOKUP(OFFSET($D$22,$Z8-1,$AE$4-1),生データ!$D:$O,COLUMN(F3),TRUE),""),"")</f>
        <v/>
      </c>
      <c r="AE8" s="34" t="str">
        <f ca="1">IFERROR(IF(INDEX(生データ!$D:$D,MATCH(OFFSET($D$22,$Z8-1,$AE$4-1),生データ!$D:$D,1))=OFFSET($D$22,$Z8-1,$AE$4-1),VLOOKUP(OFFSET($D$22,$Z8-1,$AE$4-1),生データ!$D:$O,COLUMN(G3),TRUE),""),"")</f>
        <v/>
      </c>
      <c r="AF8" s="34" t="str">
        <f ca="1">IFERROR(IF(INDEX(生データ!$D:$D,MATCH(OFFSET($D$22,$Z8-1,$AE$4-1),生データ!$D:$D,1))=OFFSET($D$22,$Z8-1,$AE$4-1),VLOOKUP(OFFSET($D$22,$Z8-1,$AE$4-1),生データ!$D:$O,COLUMN(H3),TRUE),""),"")</f>
        <v/>
      </c>
      <c r="AG8" s="34" t="str">
        <f ca="1">IFERROR(IF(INDEX(生データ!$D:$D,MATCH(OFFSET($D$22,$Z8-1,$AE$4-1),生データ!$D:$D,1))=OFFSET($D$22,$Z8-1,$AE$4-1),VLOOKUP(OFFSET($D$22,$Z8-1,$AE$4-1),生データ!$D:$O,COLUMN(I3),TRUE),""),"")</f>
        <v/>
      </c>
      <c r="AH8" s="34" t="str">
        <f ca="1">IFERROR(IF(INDEX(生データ!$D:$D,MATCH(OFFSET($D$22,$Z8-1,$AE$4-1),生データ!$D:$D,1))=OFFSET($D$22,$Z8-1,$AE$4-1),VLOOKUP(OFFSET($D$22,$Z8-1,$AE$4-1),生データ!$D:$O,COLUMN(J3),TRUE),""),"")</f>
        <v/>
      </c>
      <c r="AI8" s="34" t="str">
        <f ca="1">IFERROR(IF(INDEX(生データ!$D:$D,MATCH(OFFSET($D$22,$Z8-1,$AE$4-1),生データ!$D:$D,1))=OFFSET($D$22,$Z8-1,$AE$4-1),VLOOKUP(OFFSET($D$22,$Z8-1,$AE$4-1),生データ!$D:$O,COLUMN(K3),TRUE),""),"")</f>
        <v/>
      </c>
      <c r="AJ8" s="34" t="str">
        <f ca="1">IFERROR(IF(INDEX(生データ!$D:$D,MATCH(OFFSET($D$22,$Z8-1,$AE$4-1),生データ!$D:$D,1))=OFFSET($D$22,$Z8-1,$AE$4-1),VLOOKUP(OFFSET($D$22,$Z8-1,$AE$4-1),生データ!$D:$O,COLUMN(L3),TRUE),""),"")</f>
        <v/>
      </c>
    </row>
    <row r="9" spans="1:36" ht="20" customHeight="1" x14ac:dyDescent="0.7">
      <c r="Z9" s="34">
        <v>4</v>
      </c>
      <c r="AA9" s="34" t="str">
        <f ca="1">IFERROR(IF(INDEX(生データ!$D:$D,MATCH(OFFSET($D$22,$Z9-1,$AE$4-1),生データ!$D:$D,1))=OFFSET($D$22,$Z9-1,$AE$4-1),VLOOKUP(OFFSET($D$22,$Z9-1,$AE$4-1),生データ!$D:$O,COLUMN(C4),TRUE),""),"")</f>
        <v/>
      </c>
      <c r="AB9" s="34" t="str">
        <f ca="1">IFERROR(IF(INDEX(生データ!$D:$D,MATCH(OFFSET($D$22,$Z9-1,$AE$4-1),生データ!$D:$D,1))=OFFSET($D$22,$Z9-1,$AE$4-1),VLOOKUP(OFFSET($D$22,$Z9-1,$AE$4-1),生データ!$D:$O,COLUMN(D4),TRUE),""),"")</f>
        <v/>
      </c>
      <c r="AC9" s="34" t="str">
        <f ca="1">IFERROR(IF(INDEX(生データ!$D:$D,MATCH(OFFSET($D$22,$Z9-1,$AE$4-1),生データ!$D:$D,1))=OFFSET($D$22,$Z9-1,$AE$4-1),VLOOKUP(OFFSET($D$22,$Z9-1,$AE$4-1),生データ!$D:$O,COLUMN(E4),TRUE),""),"")</f>
        <v/>
      </c>
      <c r="AD9" s="34" t="str">
        <f ca="1">IFERROR(IF(INDEX(生データ!$D:$D,MATCH(OFFSET($D$22,$Z9-1,$AE$4-1),生データ!$D:$D,1))=OFFSET($D$22,$Z9-1,$AE$4-1),VLOOKUP(OFFSET($D$22,$Z9-1,$AE$4-1),生データ!$D:$O,COLUMN(F4),TRUE),""),"")</f>
        <v/>
      </c>
      <c r="AE9" s="34" t="str">
        <f ca="1">IFERROR(IF(INDEX(生データ!$D:$D,MATCH(OFFSET($D$22,$Z9-1,$AE$4-1),生データ!$D:$D,1))=OFFSET($D$22,$Z9-1,$AE$4-1),VLOOKUP(OFFSET($D$22,$Z9-1,$AE$4-1),生データ!$D:$O,COLUMN(G4),TRUE),""),"")</f>
        <v/>
      </c>
      <c r="AF9" s="34" t="str">
        <f ca="1">IFERROR(IF(INDEX(生データ!$D:$D,MATCH(OFFSET($D$22,$Z9-1,$AE$4-1),生データ!$D:$D,1))=OFFSET($D$22,$Z9-1,$AE$4-1),VLOOKUP(OFFSET($D$22,$Z9-1,$AE$4-1),生データ!$D:$O,COLUMN(H4),TRUE),""),"")</f>
        <v/>
      </c>
      <c r="AG9" s="34" t="str">
        <f ca="1">IFERROR(IF(INDEX(生データ!$D:$D,MATCH(OFFSET($D$22,$Z9-1,$AE$4-1),生データ!$D:$D,1))=OFFSET($D$22,$Z9-1,$AE$4-1),VLOOKUP(OFFSET($D$22,$Z9-1,$AE$4-1),生データ!$D:$O,COLUMN(I4),TRUE),""),"")</f>
        <v/>
      </c>
      <c r="AH9" s="34" t="str">
        <f ca="1">IFERROR(IF(INDEX(生データ!$D:$D,MATCH(OFFSET($D$22,$Z9-1,$AE$4-1),生データ!$D:$D,1))=OFFSET($D$22,$Z9-1,$AE$4-1),VLOOKUP(OFFSET($D$22,$Z9-1,$AE$4-1),生データ!$D:$O,COLUMN(J4),TRUE),""),"")</f>
        <v/>
      </c>
      <c r="AI9" s="34" t="str">
        <f ca="1">IFERROR(IF(INDEX(生データ!$D:$D,MATCH(OFFSET($D$22,$Z9-1,$AE$4-1),生データ!$D:$D,1))=OFFSET($D$22,$Z9-1,$AE$4-1),VLOOKUP(OFFSET($D$22,$Z9-1,$AE$4-1),生データ!$D:$O,COLUMN(K4),TRUE),""),"")</f>
        <v/>
      </c>
      <c r="AJ9" s="34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4">
        <v>5</v>
      </c>
      <c r="AA10" s="34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4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4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4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4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4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4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4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4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4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90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P13" s="36" t="s">
        <v>95</v>
      </c>
      <c r="Q13" s="36"/>
      <c r="R13" s="38"/>
      <c r="T13" t="s">
        <v>89</v>
      </c>
    </row>
    <row r="14" spans="1:36" ht="30" customHeight="1" x14ac:dyDescent="0.7">
      <c r="H14" s="1"/>
      <c r="T14" s="34">
        <v>2</v>
      </c>
      <c r="U14" s="36"/>
      <c r="V14" s="37" t="s">
        <v>68</v>
      </c>
      <c r="W14" s="37"/>
      <c r="X14" s="38"/>
    </row>
    <row r="15" spans="1:36" ht="30" customHeight="1" x14ac:dyDescent="0.7">
      <c r="B15" s="3"/>
      <c r="T15" s="44"/>
      <c r="U15" s="40"/>
      <c r="V15" s="40"/>
      <c r="W15" s="40"/>
      <c r="X15" s="41"/>
    </row>
    <row r="16" spans="1:36" ht="29.55" customHeight="1" x14ac:dyDescent="0.7">
      <c r="T16" s="45" t="s">
        <v>64</v>
      </c>
      <c r="U16" s="42"/>
      <c r="V16" s="42"/>
      <c r="W16" s="42"/>
      <c r="X16" s="43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20191205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2019120511</v>
      </c>
      <c r="E22" s="3">
        <f t="shared" ref="E22:J22" ca="1" si="0">$C$21*100+E$21*10+$C22</f>
        <v>2019120521</v>
      </c>
      <c r="F22" s="3">
        <f t="shared" ca="1" si="0"/>
        <v>2019120531</v>
      </c>
      <c r="G22" s="3">
        <f t="shared" ca="1" si="0"/>
        <v>2019120541</v>
      </c>
      <c r="H22" s="3">
        <f t="shared" ca="1" si="0"/>
        <v>2019120551</v>
      </c>
      <c r="I22" s="3">
        <f t="shared" ca="1" si="0"/>
        <v>2019120561</v>
      </c>
      <c r="J22" s="3">
        <f t="shared" ca="1" si="0"/>
        <v>2019120571</v>
      </c>
    </row>
    <row r="23" spans="3:10" hidden="1" x14ac:dyDescent="0.7">
      <c r="C23" s="3">
        <v>2</v>
      </c>
      <c r="D23" s="3">
        <f t="shared" ref="D23:J26" ca="1" si="1">$C$21*100+D$21*10+$C23</f>
        <v>2019120512</v>
      </c>
      <c r="E23" s="3">
        <f t="shared" ca="1" si="1"/>
        <v>2019120522</v>
      </c>
      <c r="F23" s="3">
        <f t="shared" ca="1" si="1"/>
        <v>2019120532</v>
      </c>
      <c r="G23" s="3">
        <f t="shared" ca="1" si="1"/>
        <v>2019120542</v>
      </c>
      <c r="H23" s="3">
        <f t="shared" ca="1" si="1"/>
        <v>2019120552</v>
      </c>
      <c r="I23" s="3">
        <f t="shared" ca="1" si="1"/>
        <v>2019120562</v>
      </c>
      <c r="J23" s="3">
        <f t="shared" ca="1" si="1"/>
        <v>2019120572</v>
      </c>
    </row>
    <row r="24" spans="3:10" hidden="1" x14ac:dyDescent="0.7">
      <c r="C24" s="3">
        <v>3</v>
      </c>
      <c r="D24" s="3">
        <f t="shared" ca="1" si="1"/>
        <v>2019120513</v>
      </c>
      <c r="E24" s="3">
        <f t="shared" ca="1" si="1"/>
        <v>2019120523</v>
      </c>
      <c r="F24" s="3">
        <f t="shared" ca="1" si="1"/>
        <v>2019120533</v>
      </c>
      <c r="G24" s="3">
        <f t="shared" ca="1" si="1"/>
        <v>2019120543</v>
      </c>
      <c r="H24" s="3">
        <f t="shared" ca="1" si="1"/>
        <v>2019120553</v>
      </c>
      <c r="I24" s="3">
        <f t="shared" ca="1" si="1"/>
        <v>2019120563</v>
      </c>
      <c r="J24" s="3">
        <f t="shared" ca="1" si="1"/>
        <v>2019120573</v>
      </c>
    </row>
    <row r="25" spans="3:10" hidden="1" x14ac:dyDescent="0.7">
      <c r="C25" s="3">
        <v>4</v>
      </c>
      <c r="D25" s="3">
        <f t="shared" ca="1" si="1"/>
        <v>2019120514</v>
      </c>
      <c r="E25" s="3">
        <f t="shared" ca="1" si="1"/>
        <v>2019120524</v>
      </c>
      <c r="F25" s="3">
        <f t="shared" ca="1" si="1"/>
        <v>2019120534</v>
      </c>
      <c r="G25" s="3">
        <f t="shared" ca="1" si="1"/>
        <v>2019120544</v>
      </c>
      <c r="H25" s="3">
        <f t="shared" ca="1" si="1"/>
        <v>2019120554</v>
      </c>
      <c r="I25" s="3">
        <f t="shared" ca="1" si="1"/>
        <v>2019120564</v>
      </c>
      <c r="J25" s="3">
        <f t="shared" ca="1" si="1"/>
        <v>2019120574</v>
      </c>
    </row>
    <row r="26" spans="3:10" hidden="1" x14ac:dyDescent="0.7">
      <c r="C26" s="3">
        <v>5</v>
      </c>
      <c r="D26" s="3">
        <f t="shared" ca="1" si="1"/>
        <v>2019120515</v>
      </c>
      <c r="E26" s="3">
        <f t="shared" ca="1" si="1"/>
        <v>2019120525</v>
      </c>
      <c r="F26" s="3">
        <f t="shared" ca="1" si="1"/>
        <v>2019120535</v>
      </c>
      <c r="G26" s="3">
        <f t="shared" ca="1" si="1"/>
        <v>2019120545</v>
      </c>
      <c r="H26" s="3">
        <f t="shared" ca="1" si="1"/>
        <v>2019120555</v>
      </c>
      <c r="I26" s="3">
        <f t="shared" ca="1" si="1"/>
        <v>2019120565</v>
      </c>
      <c r="J26" s="3">
        <f t="shared" ca="1" si="1"/>
        <v>2019120575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585788</xdr:colOff>
                    <xdr:row>6</xdr:row>
                    <xdr:rowOff>433388</xdr:rowOff>
                  </from>
                  <to>
                    <xdr:col>18</xdr:col>
                    <xdr:colOff>328613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166688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609600</xdr:colOff>
                    <xdr:row>3</xdr:row>
                    <xdr:rowOff>61913</xdr:rowOff>
                  </from>
                  <to>
                    <xdr:col>18</xdr:col>
                    <xdr:colOff>290513</xdr:colOff>
                    <xdr:row>4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138113</xdr:rowOff>
                  </from>
                  <to>
                    <xdr:col>23</xdr:col>
                    <xdr:colOff>547688</xdr:colOff>
                    <xdr:row>4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609600</xdr:colOff>
                    <xdr:row>7</xdr:row>
                    <xdr:rowOff>571500</xdr:rowOff>
                  </from>
                  <to>
                    <xdr:col>18</xdr:col>
                    <xdr:colOff>319088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23813</xdr:rowOff>
                  </from>
                  <to>
                    <xdr:col>24</xdr:col>
                    <xdr:colOff>495300</xdr:colOff>
                    <xdr:row>19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571500</xdr:colOff>
                    <xdr:row>5</xdr:row>
                    <xdr:rowOff>366713</xdr:rowOff>
                  </from>
                  <to>
                    <xdr:col>18</xdr:col>
                    <xdr:colOff>319088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90488</xdr:rowOff>
                  </from>
                  <to>
                    <xdr:col>23</xdr:col>
                    <xdr:colOff>571500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38100</xdr:rowOff>
                  </from>
                  <to>
                    <xdr:col>15</xdr:col>
                    <xdr:colOff>138113</xdr:colOff>
                    <xdr:row>3</xdr:row>
                    <xdr:rowOff>433388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23813</xdr:colOff>
                    <xdr:row>3</xdr:row>
                    <xdr:rowOff>571500</xdr:rowOff>
                  </from>
                  <to>
                    <xdr:col>15</xdr:col>
                    <xdr:colOff>204788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14288</xdr:colOff>
                    <xdr:row>4</xdr:row>
                    <xdr:rowOff>190500</xdr:rowOff>
                  </from>
                  <to>
                    <xdr:col>15</xdr:col>
                    <xdr:colOff>204788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23813</xdr:colOff>
                    <xdr:row>4</xdr:row>
                    <xdr:rowOff>738188</xdr:rowOff>
                  </from>
                  <to>
                    <xdr:col>15</xdr:col>
                    <xdr:colOff>190500</xdr:colOff>
                    <xdr:row>5</xdr:row>
                    <xdr:rowOff>242888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357188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762000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23813</xdr:colOff>
                    <xdr:row>6</xdr:row>
                    <xdr:rowOff>319088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1014413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14288</xdr:colOff>
                    <xdr:row>8</xdr:row>
                    <xdr:rowOff>152400</xdr:rowOff>
                  </from>
                  <to>
                    <xdr:col>15</xdr:col>
                    <xdr:colOff>166688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990600</xdr:colOff>
                    <xdr:row>11</xdr:row>
                    <xdr:rowOff>328613</xdr:rowOff>
                  </from>
                  <to>
                    <xdr:col>14</xdr:col>
                    <xdr:colOff>557213</xdr:colOff>
                    <xdr:row>12</xdr:row>
                    <xdr:rowOff>290513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228600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14</xdr:col>
                    <xdr:colOff>557213</xdr:colOff>
                    <xdr:row>13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138113</xdr:rowOff>
                  </from>
                  <to>
                    <xdr:col>18</xdr:col>
                    <xdr:colOff>280988</xdr:colOff>
                    <xdr:row>4</xdr:row>
                    <xdr:rowOff>890588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61913</xdr:rowOff>
                  </from>
                  <to>
                    <xdr:col>23</xdr:col>
                    <xdr:colOff>495300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990600</xdr:colOff>
                    <xdr:row>14</xdr:row>
                    <xdr:rowOff>138113</xdr:rowOff>
                  </from>
                  <to>
                    <xdr:col>14</xdr:col>
                    <xdr:colOff>547688</xdr:colOff>
                    <xdr:row>15</xdr:row>
                    <xdr:rowOff>366713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9" r:id="rId27" name="Button 781">
              <controlPr defaultSize="0" print="0" autoFill="0" autoPict="0" macro="[0]!if_save">
                <anchor moveWithCells="1" sizeWithCells="1">
                  <from>
                    <xdr:col>16</xdr:col>
                    <xdr:colOff>61913</xdr:colOff>
                    <xdr:row>12</xdr:row>
                    <xdr:rowOff>23813</xdr:rowOff>
                  </from>
                  <to>
                    <xdr:col>17</xdr:col>
                    <xdr:colOff>661988</xdr:colOff>
                    <xdr:row>12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7"/>
  <sheetViews>
    <sheetView showGridLines="0" zoomScaleNormal="100" workbookViewId="0">
      <selection activeCell="H5" sqref="H5"/>
    </sheetView>
  </sheetViews>
  <sheetFormatPr defaultColWidth="8.8125" defaultRowHeight="17.649999999999999" x14ac:dyDescent="0.7"/>
  <cols>
    <col min="2" max="2" width="40.6875" customWidth="1"/>
  </cols>
  <sheetData>
    <row r="1" spans="1:1" ht="180" customHeight="1" x14ac:dyDescent="0.7">
      <c r="A1">
        <v>0</v>
      </c>
    </row>
    <row r="2" spans="1:1" ht="180" customHeight="1" x14ac:dyDescent="0.7">
      <c r="A2">
        <v>1</v>
      </c>
    </row>
    <row r="3" spans="1:1" ht="180" customHeight="1" x14ac:dyDescent="0.7">
      <c r="A3">
        <v>2</v>
      </c>
    </row>
    <row r="4" spans="1:1" ht="180" customHeight="1" x14ac:dyDescent="0.7">
      <c r="A4">
        <v>3</v>
      </c>
    </row>
    <row r="5" spans="1:1" ht="180" customHeight="1" x14ac:dyDescent="0.7">
      <c r="A5">
        <v>4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F25" sqref="F25"/>
    </sheetView>
  </sheetViews>
  <sheetFormatPr defaultColWidth="8.8125" defaultRowHeight="17.649999999999999" x14ac:dyDescent="0.7"/>
  <cols>
    <col min="4" max="4" width="13.1875" customWidth="1"/>
    <col min="5" max="5" width="67" customWidth="1"/>
    <col min="6" max="6" width="98.3125" customWidth="1"/>
    <col min="7" max="7" width="15.687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s="26" customFormat="1" x14ac:dyDescent="0.7">
      <c r="A2" s="26">
        <v>1</v>
      </c>
      <c r="B2" s="26" t="s">
        <v>91</v>
      </c>
      <c r="C2" s="26" t="s">
        <v>91</v>
      </c>
      <c r="D2" s="26" t="s">
        <v>91</v>
      </c>
      <c r="E2" s="26" t="s">
        <v>92</v>
      </c>
      <c r="F2" s="26" t="s">
        <v>93</v>
      </c>
    </row>
    <row r="3" spans="1:12" x14ac:dyDescent="0.7">
      <c r="A3" s="26">
        <v>2</v>
      </c>
      <c r="B3" s="26" t="s">
        <v>91</v>
      </c>
      <c r="C3" s="26" t="s">
        <v>91</v>
      </c>
      <c r="D3" s="26" t="s">
        <v>91</v>
      </c>
      <c r="E3" s="26" t="s">
        <v>92</v>
      </c>
      <c r="F3" s="26" t="s">
        <v>93</v>
      </c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 t="s">
        <v>91</v>
      </c>
      <c r="C4" s="26" t="s">
        <v>91</v>
      </c>
      <c r="D4" s="26" t="s">
        <v>91</v>
      </c>
      <c r="E4" s="26" t="s">
        <v>92</v>
      </c>
      <c r="F4" s="26" t="s">
        <v>93</v>
      </c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 t="s">
        <v>91</v>
      </c>
      <c r="C5" s="26" t="s">
        <v>91</v>
      </c>
      <c r="D5" s="26" t="s">
        <v>91</v>
      </c>
      <c r="E5" s="26" t="s">
        <v>92</v>
      </c>
      <c r="F5" s="26" t="s">
        <v>93</v>
      </c>
      <c r="G5" s="26"/>
      <c r="H5" s="26"/>
      <c r="I5" s="26"/>
      <c r="J5" s="26"/>
      <c r="K5" s="26"/>
      <c r="L5" s="26"/>
    </row>
    <row r="6" spans="1:12" x14ac:dyDescent="0.7">
      <c r="A6" s="26">
        <v>6</v>
      </c>
      <c r="B6" s="26" t="s">
        <v>91</v>
      </c>
      <c r="C6" s="26" t="s">
        <v>91</v>
      </c>
      <c r="D6" s="26" t="s">
        <v>91</v>
      </c>
      <c r="E6" s="26" t="s">
        <v>92</v>
      </c>
      <c r="F6" s="26" t="s">
        <v>93</v>
      </c>
      <c r="G6" s="26"/>
      <c r="H6" s="26"/>
      <c r="I6" s="26"/>
      <c r="J6" s="26"/>
      <c r="K6" s="26"/>
      <c r="L6" s="26"/>
    </row>
    <row r="7" spans="1:12" x14ac:dyDescent="0.7">
      <c r="A7" s="26">
        <v>7</v>
      </c>
      <c r="B7" s="26" t="s">
        <v>91</v>
      </c>
      <c r="C7" s="26" t="s">
        <v>91</v>
      </c>
      <c r="D7" s="26" t="s">
        <v>91</v>
      </c>
      <c r="E7" s="26" t="s">
        <v>92</v>
      </c>
      <c r="F7" s="26" t="s">
        <v>93</v>
      </c>
      <c r="G7" s="26"/>
      <c r="H7" s="26"/>
      <c r="I7" s="26"/>
      <c r="J7" s="26"/>
      <c r="K7" s="26"/>
      <c r="L7" s="26"/>
    </row>
    <row r="8" spans="1:12" x14ac:dyDescent="0.7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 x14ac:dyDescent="0.7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6</xdr:col>
                    <xdr:colOff>114300</xdr:colOff>
                    <xdr:row>0</xdr:row>
                    <xdr:rowOff>138113</xdr:rowOff>
                  </from>
                  <to>
                    <xdr:col>8</xdr:col>
                    <xdr:colOff>585788</xdr:colOff>
                    <xdr:row>2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47"/>
  <sheetViews>
    <sheetView workbookViewId="0">
      <pane ySplit="1" topLeftCell="A35" activePane="bottomLeft" state="frozen"/>
      <selection pane="bottomLeft" activeCell="F67" sqref="F67"/>
    </sheetView>
  </sheetViews>
  <sheetFormatPr defaultColWidth="8.8125" defaultRowHeight="17.649999999999999" x14ac:dyDescent="0.7"/>
  <cols>
    <col min="1" max="1" width="14.3125" customWidth="1"/>
    <col min="4" max="4" width="12.6875" customWidth="1"/>
    <col min="6" max="6" width="19.6875" style="2" customWidth="1"/>
    <col min="7" max="16" width="10.6875" style="2" customWidth="1"/>
    <col min="17" max="35" width="8.812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1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54" spans="1:35" s="26" customFormat="1" x14ac:dyDescent="0.7">
      <c r="A54" s="26">
        <v>20191117</v>
      </c>
      <c r="B54" s="26">
        <v>3</v>
      </c>
      <c r="C54" s="26">
        <v>1</v>
      </c>
      <c r="D54" s="26">
        <v>2019111731</v>
      </c>
      <c r="E54" s="26">
        <v>0</v>
      </c>
      <c r="F54" s="2">
        <v>342599567</v>
      </c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</row>
    <row r="55" spans="1:35" s="26" customFormat="1" x14ac:dyDescent="0.7">
      <c r="A55" s="26">
        <v>20191117</v>
      </c>
      <c r="B55" s="26">
        <v>4</v>
      </c>
      <c r="C55" s="26">
        <v>1</v>
      </c>
      <c r="D55" s="26">
        <v>2019111741</v>
      </c>
      <c r="E55" s="26">
        <v>0</v>
      </c>
      <c r="F55" s="2">
        <v>152517043</v>
      </c>
      <c r="G55" s="2">
        <v>142517036</v>
      </c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</row>
    <row r="56" spans="1:35" s="26" customFormat="1" x14ac:dyDescent="0.7">
      <c r="A56" s="26">
        <v>20191117</v>
      </c>
      <c r="B56" s="26">
        <v>5</v>
      </c>
      <c r="C56" s="26">
        <v>1</v>
      </c>
      <c r="D56" s="26">
        <v>2019111751</v>
      </c>
      <c r="E56" s="26">
        <v>0</v>
      </c>
      <c r="F56" s="2">
        <v>152517043</v>
      </c>
      <c r="G56" s="2">
        <v>142517036</v>
      </c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</row>
    <row r="57" spans="1:35" s="26" customFormat="1" x14ac:dyDescent="0.7">
      <c r="A57" s="26">
        <v>20191117</v>
      </c>
      <c r="B57" s="26">
        <v>6</v>
      </c>
      <c r="C57" s="26">
        <v>1</v>
      </c>
      <c r="D57" s="26">
        <v>2019111761</v>
      </c>
      <c r="E57" s="26">
        <v>0</v>
      </c>
      <c r="F57" s="2">
        <v>152517043</v>
      </c>
      <c r="G57" s="2">
        <v>142517036</v>
      </c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</row>
    <row r="58" spans="1:35" s="26" customFormat="1" x14ac:dyDescent="0.7">
      <c r="A58" s="26">
        <v>20191117</v>
      </c>
      <c r="B58" s="26">
        <v>6</v>
      </c>
      <c r="C58" s="26">
        <v>2</v>
      </c>
      <c r="D58" s="26">
        <v>2019111762</v>
      </c>
      <c r="E58" s="26">
        <v>0</v>
      </c>
      <c r="F58" s="2">
        <v>342599567</v>
      </c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</row>
    <row r="59" spans="1:35" s="26" customFormat="1" x14ac:dyDescent="0.7">
      <c r="A59" s="26">
        <v>20191117</v>
      </c>
      <c r="B59" s="26">
        <v>7</v>
      </c>
      <c r="C59" s="26">
        <v>1</v>
      </c>
      <c r="D59" s="26">
        <v>2019111771</v>
      </c>
      <c r="E59" s="26">
        <v>0</v>
      </c>
      <c r="F59" s="2">
        <v>152517043</v>
      </c>
      <c r="G59" s="2">
        <v>142517036</v>
      </c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</row>
    <row r="60" spans="1:35" s="26" customFormat="1" x14ac:dyDescent="0.7">
      <c r="A60" s="26">
        <v>20191117</v>
      </c>
      <c r="B60" s="26">
        <v>7</v>
      </c>
      <c r="C60" s="26">
        <v>2</v>
      </c>
      <c r="D60" s="26">
        <v>2019111772</v>
      </c>
      <c r="E60" s="26">
        <v>0</v>
      </c>
      <c r="F60" s="2">
        <v>342599567</v>
      </c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</row>
    <row r="61" spans="1:35" s="26" customFormat="1" x14ac:dyDescent="0.7">
      <c r="A61" s="26">
        <v>20191118</v>
      </c>
      <c r="B61" s="26">
        <v>3</v>
      </c>
      <c r="C61" s="26">
        <v>3</v>
      </c>
      <c r="D61" s="26">
        <v>2019111833</v>
      </c>
      <c r="E61" s="26">
        <v>0</v>
      </c>
      <c r="F61" s="2">
        <v>132599333</v>
      </c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</row>
    <row r="62" spans="1:35" s="26" customFormat="1" x14ac:dyDescent="0.7">
      <c r="A62" s="26">
        <v>20191118</v>
      </c>
      <c r="B62" s="26">
        <v>4</v>
      </c>
      <c r="C62" s="26">
        <v>3</v>
      </c>
      <c r="D62" s="26">
        <v>2019111843</v>
      </c>
      <c r="E62" s="26">
        <v>1</v>
      </c>
      <c r="F62" s="2">
        <v>142599141</v>
      </c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</row>
    <row r="63" spans="1:35" s="26" customFormat="1" x14ac:dyDescent="0.7">
      <c r="A63" s="26">
        <v>20191118</v>
      </c>
      <c r="B63" s="26">
        <v>5</v>
      </c>
      <c r="C63" s="26">
        <v>3</v>
      </c>
      <c r="D63" s="26">
        <v>2019111853</v>
      </c>
      <c r="E63" s="26">
        <v>1</v>
      </c>
      <c r="F63" s="2">
        <v>152517043</v>
      </c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</row>
    <row r="64" spans="1:35" s="26" customFormat="1" x14ac:dyDescent="0.7">
      <c r="A64" s="26">
        <v>20191119</v>
      </c>
      <c r="B64" s="26">
        <v>1</v>
      </c>
      <c r="C64" s="26">
        <v>3</v>
      </c>
      <c r="D64" s="26">
        <v>2019111913</v>
      </c>
      <c r="E64" s="26">
        <v>0</v>
      </c>
      <c r="F64" s="2">
        <v>142599333</v>
      </c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</row>
    <row r="65" spans="1:35" s="26" customFormat="1" x14ac:dyDescent="0.7">
      <c r="A65" s="26">
        <v>20191119</v>
      </c>
      <c r="B65" s="26">
        <v>3</v>
      </c>
      <c r="C65" s="26">
        <v>3</v>
      </c>
      <c r="D65" s="26">
        <v>2019111933</v>
      </c>
      <c r="E65" s="26">
        <v>1</v>
      </c>
      <c r="F65" s="2">
        <v>132521333</v>
      </c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</row>
    <row r="66" spans="1:35" s="26" customFormat="1" x14ac:dyDescent="0.7">
      <c r="A66" s="26">
        <v>20191119</v>
      </c>
      <c r="B66" s="26">
        <v>6</v>
      </c>
      <c r="C66" s="26">
        <v>4</v>
      </c>
      <c r="D66" s="26">
        <v>2019111964</v>
      </c>
      <c r="E66" s="26">
        <v>0</v>
      </c>
      <c r="F66" s="2">
        <v>432599333</v>
      </c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</row>
    <row r="67" spans="1:35" s="26" customFormat="1" x14ac:dyDescent="0.7">
      <c r="A67" s="26">
        <v>20191203</v>
      </c>
      <c r="B67" s="26">
        <v>4</v>
      </c>
      <c r="C67" s="26">
        <v>4</v>
      </c>
      <c r="D67" s="26">
        <v>2019120344</v>
      </c>
      <c r="E67" s="26">
        <v>0</v>
      </c>
      <c r="F67" s="2">
        <v>342599567</v>
      </c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</row>
    <row r="109" spans="6:35" s="16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16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18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18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19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19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25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1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5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5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1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5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1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5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5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1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19" customFormat="1" x14ac:dyDescent="0.7"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5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3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1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1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5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5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3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3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1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3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0" spans="6:35" s="26" customFormat="1" x14ac:dyDescent="0.7"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  <row r="234" spans="6:35" s="26" customFormat="1" x14ac:dyDescent="0.7"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</row>
    <row r="235" spans="6:35" s="26" customFormat="1" x14ac:dyDescent="0.7"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</row>
    <row r="236" spans="6:35" s="26" customFormat="1" x14ac:dyDescent="0.7"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</row>
    <row r="237" spans="6:35" s="26" customFormat="1" x14ac:dyDescent="0.7"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</row>
    <row r="238" spans="6:35" s="26" customFormat="1" x14ac:dyDescent="0.7"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</row>
    <row r="239" spans="6:35" s="26" customFormat="1" x14ac:dyDescent="0.7"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</row>
    <row r="240" spans="6:35" s="26" customFormat="1" x14ac:dyDescent="0.7"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</row>
    <row r="241" spans="6:35" s="26" customFormat="1" x14ac:dyDescent="0.7"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</row>
    <row r="242" spans="6:35" s="26" customFormat="1" x14ac:dyDescent="0.7"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</row>
    <row r="243" spans="6:35" s="26" customFormat="1" x14ac:dyDescent="0.7"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</row>
    <row r="244" spans="6:35" s="26" customFormat="1" x14ac:dyDescent="0.7"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</row>
    <row r="245" spans="6:35" s="26" customFormat="1" x14ac:dyDescent="0.7"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</row>
    <row r="246" spans="6:35" s="26" customFormat="1" x14ac:dyDescent="0.7"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</row>
    <row r="247" spans="6:35" s="26" customFormat="1" x14ac:dyDescent="0.7"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</row>
  </sheetData>
  <sortState xmlns:xlrd2="http://schemas.microsoft.com/office/spreadsheetml/2017/richdata2" ref="A2:V247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ColWidth="8.8125" defaultRowHeight="17.649999999999999" x14ac:dyDescent="0.7"/>
  <cols>
    <col min="1" max="1" width="14.3125" customWidth="1"/>
    <col min="2" max="2" width="12.6875" customWidth="1"/>
    <col min="3" max="3" width="11.8125" customWidth="1"/>
    <col min="4" max="4" width="12.1875" customWidth="1"/>
    <col min="5" max="6" width="11.5" customWidth="1"/>
    <col min="7" max="8" width="12.1875" customWidth="1"/>
  </cols>
  <sheetData>
    <row r="1" spans="1:2" x14ac:dyDescent="0.7">
      <c r="A1">
        <v>20191203</v>
      </c>
      <c r="B1">
        <v>20191203</v>
      </c>
    </row>
    <row r="2" spans="1:2" s="26" customFormat="1" x14ac:dyDescent="0.7">
      <c r="A2" s="26">
        <v>342599567</v>
      </c>
      <c r="B2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125" defaultRowHeight="17.649999999999999" x14ac:dyDescent="0.7"/>
  <cols>
    <col min="1" max="1" width="10.5" customWidth="1"/>
    <col min="3" max="3" width="12.687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9"/>
  <sheetViews>
    <sheetView topLeftCell="A4" workbookViewId="0">
      <selection activeCell="G37" sqref="G37"/>
    </sheetView>
  </sheetViews>
  <sheetFormatPr defaultColWidth="8.8125" defaultRowHeight="17.649999999999999" x14ac:dyDescent="0.7"/>
  <cols>
    <col min="1" max="1" width="20.1875" style="24" customWidth="1"/>
    <col min="2" max="2" width="17.5" style="24" customWidth="1"/>
    <col min="3" max="3" width="14.187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6" customFormat="1" x14ac:dyDescent="0.7">
      <c r="A34" s="24">
        <v>43786.879629629628</v>
      </c>
      <c r="B34" s="24">
        <v>43786.88013888889</v>
      </c>
      <c r="C34" s="26">
        <v>1</v>
      </c>
    </row>
    <row r="35" spans="1:3" s="26" customFormat="1" x14ac:dyDescent="0.7">
      <c r="A35" s="24">
        <v>43803.541666666664</v>
      </c>
      <c r="B35" s="24">
        <v>43803.583333333336</v>
      </c>
      <c r="C35" s="26">
        <v>7</v>
      </c>
    </row>
    <row r="36" spans="1:3" s="26" customFormat="1" x14ac:dyDescent="0.7">
      <c r="A36" s="24">
        <v>43806.833333333336</v>
      </c>
      <c r="B36" s="24">
        <v>43806.875</v>
      </c>
      <c r="C36" s="26">
        <v>4</v>
      </c>
    </row>
    <row r="37" spans="1:3" s="26" customFormat="1" x14ac:dyDescent="0.7">
      <c r="A37" s="24">
        <v>43806.875</v>
      </c>
      <c r="B37" s="24">
        <v>43806.958333333336</v>
      </c>
      <c r="C37" s="26">
        <v>7</v>
      </c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s="22" customFormat="1" x14ac:dyDescent="0.7">
      <c r="A54" s="24"/>
      <c r="B54" s="24"/>
    </row>
    <row r="55" spans="1:4" s="22" customFormat="1" x14ac:dyDescent="0.7">
      <c r="A55" s="24"/>
      <c r="B55" s="24"/>
    </row>
    <row r="56" spans="1:4" s="22" customFormat="1" x14ac:dyDescent="0.7">
      <c r="A56" s="24"/>
      <c r="B56" s="24"/>
    </row>
    <row r="57" spans="1:4" s="22" customFormat="1" x14ac:dyDescent="0.7">
      <c r="A57" s="24"/>
      <c r="B57" s="24"/>
    </row>
    <row r="58" spans="1:4" x14ac:dyDescent="0.7">
      <c r="A58" s="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s="22" customFormat="1" x14ac:dyDescent="0.7">
      <c r="A73" s="4"/>
      <c r="B73" s="24"/>
      <c r="C73" s="3"/>
      <c r="D73" s="3"/>
    </row>
    <row r="74" spans="1:4" s="22" customFormat="1" x14ac:dyDescent="0.7">
      <c r="A74" s="4"/>
      <c r="B74" s="24"/>
      <c r="C74" s="3"/>
      <c r="D74" s="3"/>
    </row>
    <row r="75" spans="1:4" s="22" customFormat="1" x14ac:dyDescent="0.7">
      <c r="A75" s="4"/>
      <c r="B75" s="24"/>
      <c r="C75" s="3"/>
      <c r="D75" s="3"/>
    </row>
    <row r="76" spans="1:4" s="22" customFormat="1" x14ac:dyDescent="0.7">
      <c r="A76" s="4"/>
      <c r="B76" s="24"/>
      <c r="C76" s="3"/>
      <c r="D76" s="3"/>
    </row>
    <row r="77" spans="1:4" x14ac:dyDescent="0.7">
      <c r="A77" s="4"/>
      <c r="C77" s="3"/>
      <c r="D77" s="3"/>
    </row>
    <row r="78" spans="1:4" x14ac:dyDescent="0.7">
      <c r="A78" s="4"/>
      <c r="C78" s="3"/>
      <c r="D78" s="3"/>
    </row>
    <row r="79" spans="1:4" x14ac:dyDescent="0.7">
      <c r="A79" s="4"/>
      <c r="C79" s="3"/>
      <c r="D79" s="3"/>
    </row>
    <row r="80" spans="1:4" x14ac:dyDescent="0.7">
      <c r="A80" s="4"/>
      <c r="C80" s="3"/>
      <c r="D80" s="3"/>
    </row>
    <row r="81" spans="1:4" x14ac:dyDescent="0.7">
      <c r="A81" s="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4"/>
      <c r="B90" s="24"/>
      <c r="C90" s="3"/>
      <c r="D90" s="3"/>
    </row>
    <row r="91" spans="1:4" s="22" customFormat="1" x14ac:dyDescent="0.7">
      <c r="A91" s="4"/>
      <c r="B91" s="24"/>
      <c r="C91" s="3"/>
      <c r="D91" s="3"/>
    </row>
    <row r="92" spans="1:4" s="22" customFormat="1" x14ac:dyDescent="0.7">
      <c r="A92" s="4"/>
      <c r="B92" s="24"/>
      <c r="C92" s="3"/>
      <c r="D92" s="3"/>
    </row>
    <row r="93" spans="1:4" s="22" customFormat="1" x14ac:dyDescent="0.7">
      <c r="A93" s="4"/>
      <c r="B93" s="24"/>
      <c r="C93" s="3"/>
      <c r="D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 s="3"/>
    </row>
    <row r="97" spans="1:3" s="22" customFormat="1" x14ac:dyDescent="0.7">
      <c r="A97" s="24"/>
      <c r="B97" s="24"/>
      <c r="C97" s="3"/>
    </row>
    <row r="98" spans="1:3" s="22" customFormat="1" x14ac:dyDescent="0.7">
      <c r="A98" s="24"/>
      <c r="B98" s="24"/>
      <c r="C98" s="3"/>
    </row>
    <row r="99" spans="1:3" s="22" customFormat="1" x14ac:dyDescent="0.7">
      <c r="A99" s="24"/>
      <c r="B99" s="24"/>
      <c r="C99" s="3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  <row r="146" spans="1:3" s="22" customFormat="1" x14ac:dyDescent="0.7">
      <c r="A146" s="24"/>
      <c r="B146" s="24"/>
      <c r="C146"/>
    </row>
    <row r="147" spans="1:3" s="22" customFormat="1" x14ac:dyDescent="0.7">
      <c r="A147" s="24"/>
      <c r="B147" s="24"/>
      <c r="C147"/>
    </row>
    <row r="148" spans="1:3" s="22" customFormat="1" x14ac:dyDescent="0.7">
      <c r="A148" s="24"/>
      <c r="B148" s="24"/>
      <c r="C148"/>
    </row>
    <row r="149" spans="1:3" s="22" customFormat="1" x14ac:dyDescent="0.7">
      <c r="A149" s="24"/>
      <c r="B149" s="24"/>
      <c r="C149"/>
    </row>
  </sheetData>
  <sortState xmlns:xlrd2="http://schemas.microsoft.com/office/spreadsheetml/2017/richdata2" ref="A2:C149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366713</xdr:colOff>
                    <xdr:row>0</xdr:row>
                    <xdr:rowOff>90488</xdr:rowOff>
                  </from>
                  <to>
                    <xdr:col>5</xdr:col>
                    <xdr:colOff>481013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ColWidth="8.8125" defaultRowHeight="17.649999999999999" x14ac:dyDescent="0.7"/>
  <cols>
    <col min="1" max="1" width="12.187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2019-12-05T03:12:01Z</dcterms:modified>
</cp:coreProperties>
</file>